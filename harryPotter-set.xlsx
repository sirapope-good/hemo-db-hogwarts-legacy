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t\Documents\SQL-pgadmin\hemo-query-insert-harryPotter-set\"/>
    </mc:Choice>
  </mc:AlternateContent>
  <xr:revisionPtr revIDLastSave="0" documentId="13_ncr:1_{CCC66D7D-F00D-4D8E-9EE5-963B70FBACD8}" xr6:coauthVersionLast="47" xr6:coauthVersionMax="47" xr10:uidLastSave="{00000000-0000-0000-0000-000000000000}"/>
  <bookViews>
    <workbookView xWindow="28680" yWindow="-120" windowWidth="29040" windowHeight="15720" tabRatio="586" activeTab="4" xr2:uid="{0E603524-40D9-41A4-A129-F24D0B0F66BE}"/>
  </bookViews>
  <sheets>
    <sheet name="Users" sheetId="2" r:id="rId1"/>
    <sheet name="VAlue_UserRole" sheetId="3" r:id="rId2"/>
    <sheet name="Value_UserUnit" sheetId="4" r:id="rId3"/>
    <sheet name="Value_Incomes" sheetId="5" r:id="rId4"/>
    <sheet name="Value_Patients (alun)" sheetId="13" r:id="rId5"/>
    <sheet name="Value_DialysisPrescriptions" sheetId="6" r:id="rId6"/>
    <sheet name="medecine" sheetId="15" r:id="rId7"/>
    <sheet name="Value_DiaPrescrip (alun)" sheetId="14" r:id="rId8"/>
    <sheet name="HemoRecord โดนนับ" sheetId="8" r:id="rId9"/>
    <sheet name="LabExam โดนนับ" sheetId="9" r:id="rId10"/>
    <sheet name="HemoRecord ไม่โดน" sheetId="11" r:id="rId11"/>
    <sheet name="LabExam ไม่โดน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3" l="1"/>
  <c r="P13" i="5"/>
  <c r="P10" i="5"/>
  <c r="P11" i="5"/>
  <c r="P12" i="5"/>
  <c r="C13" i="4"/>
  <c r="C10" i="4"/>
  <c r="C11" i="4"/>
  <c r="C12" i="4"/>
  <c r="D13" i="3"/>
  <c r="D2" i="3"/>
  <c r="D3" i="3"/>
  <c r="D4" i="3"/>
  <c r="V2" i="2"/>
  <c r="V13" i="2"/>
  <c r="V10" i="2"/>
  <c r="V11" i="2"/>
  <c r="V12" i="2"/>
  <c r="Q7" i="15"/>
  <c r="Q3" i="15"/>
  <c r="Q4" i="15"/>
  <c r="Q5" i="15"/>
  <c r="Q6" i="15"/>
  <c r="Q2" i="15"/>
  <c r="AU31" i="14"/>
  <c r="AU30" i="14"/>
  <c r="AU29" i="14"/>
  <c r="AU28" i="14"/>
  <c r="AU27" i="14"/>
  <c r="AU26" i="14"/>
  <c r="AU25" i="14"/>
  <c r="AU24" i="14"/>
  <c r="AU23" i="14"/>
  <c r="AU22" i="14"/>
  <c r="AU21" i="14"/>
  <c r="AU20" i="14"/>
  <c r="AU19" i="14"/>
  <c r="AU18" i="14"/>
  <c r="AU17" i="14"/>
  <c r="AU16" i="14"/>
  <c r="AU15" i="14"/>
  <c r="AU14" i="14"/>
  <c r="AU13" i="14"/>
  <c r="AU12" i="14"/>
  <c r="AU11" i="14"/>
  <c r="AU10" i="14"/>
  <c r="AU9" i="14"/>
  <c r="AU8" i="14"/>
  <c r="AU7" i="14"/>
  <c r="AU6" i="14"/>
  <c r="AU5" i="14"/>
  <c r="AU4" i="14"/>
  <c r="AU3" i="14"/>
  <c r="AU2" i="14"/>
  <c r="M31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P29" i="12"/>
  <c r="M29" i="12"/>
  <c r="P28" i="12"/>
  <c r="M28" i="12"/>
  <c r="P27" i="12"/>
  <c r="M27" i="12"/>
  <c r="P26" i="12"/>
  <c r="M26" i="12"/>
  <c r="P25" i="12"/>
  <c r="M25" i="12"/>
  <c r="P24" i="12"/>
  <c r="M24" i="12"/>
  <c r="P23" i="12"/>
  <c r="M23" i="12"/>
  <c r="P22" i="12"/>
  <c r="M22" i="12"/>
  <c r="P21" i="12"/>
  <c r="M21" i="12"/>
  <c r="P20" i="12"/>
  <c r="M20" i="12"/>
  <c r="P19" i="12"/>
  <c r="M19" i="12"/>
  <c r="P18" i="12"/>
  <c r="M18" i="12"/>
  <c r="P17" i="12"/>
  <c r="M17" i="12"/>
  <c r="P16" i="12"/>
  <c r="M16" i="12"/>
  <c r="P15" i="12"/>
  <c r="M15" i="12"/>
  <c r="P14" i="12"/>
  <c r="M14" i="12"/>
  <c r="P13" i="12"/>
  <c r="M13" i="12"/>
  <c r="P12" i="12"/>
  <c r="M12" i="12"/>
  <c r="P11" i="12"/>
  <c r="M11" i="12"/>
  <c r="P10" i="12"/>
  <c r="M10" i="12"/>
  <c r="P9" i="12"/>
  <c r="M9" i="12"/>
  <c r="P8" i="12"/>
  <c r="M8" i="12"/>
  <c r="P7" i="12"/>
  <c r="M7" i="12"/>
  <c r="P6" i="12"/>
  <c r="M6" i="12"/>
  <c r="P5" i="12"/>
  <c r="M5" i="12"/>
  <c r="P4" i="12"/>
  <c r="M4" i="12"/>
  <c r="AL70" i="11"/>
  <c r="AL69" i="11"/>
  <c r="AL68" i="11"/>
  <c r="AL67" i="11"/>
  <c r="AL66" i="11"/>
  <c r="AL65" i="11"/>
  <c r="AL64" i="11"/>
  <c r="AL63" i="11"/>
  <c r="AL62" i="11"/>
  <c r="AL61" i="11"/>
  <c r="AL60" i="11"/>
  <c r="AL59" i="11"/>
  <c r="AL58" i="11"/>
  <c r="AL57" i="11"/>
  <c r="AL56" i="11"/>
  <c r="AL55" i="11"/>
  <c r="AL54" i="11"/>
  <c r="AL53" i="11"/>
  <c r="AL52" i="11"/>
  <c r="AL51" i="11"/>
  <c r="AL50" i="11"/>
  <c r="AL49" i="11"/>
  <c r="AL48" i="11"/>
  <c r="AL47" i="11"/>
  <c r="AL46" i="11"/>
  <c r="AL45" i="11"/>
  <c r="AL44" i="11"/>
  <c r="AL43" i="11"/>
  <c r="AL42" i="11"/>
  <c r="AL41" i="11"/>
  <c r="AL40" i="11"/>
  <c r="AL39" i="11"/>
  <c r="AL38" i="11"/>
  <c r="AL37" i="11"/>
  <c r="AL36" i="11"/>
  <c r="AL35" i="11"/>
  <c r="AL34" i="11"/>
  <c r="AL33" i="11"/>
  <c r="AL32" i="11"/>
  <c r="AL31" i="11"/>
  <c r="AL30" i="11"/>
  <c r="AL29" i="11"/>
  <c r="AL28" i="11"/>
  <c r="AL27" i="11"/>
  <c r="AL26" i="11"/>
  <c r="AL25" i="11"/>
  <c r="AL24" i="11"/>
  <c r="AL23" i="11"/>
  <c r="AL22" i="11"/>
  <c r="AL21" i="11"/>
  <c r="AL20" i="11"/>
  <c r="AL19" i="11"/>
  <c r="AL18" i="11"/>
  <c r="AL17" i="11"/>
  <c r="AL16" i="11"/>
  <c r="AL15" i="11"/>
  <c r="AL14" i="11"/>
  <c r="AL13" i="11"/>
  <c r="AL12" i="11"/>
  <c r="AL11" i="11"/>
  <c r="AL10" i="11"/>
  <c r="AL9" i="11"/>
  <c r="AL8" i="11"/>
  <c r="AL7" i="11"/>
  <c r="AL6" i="11"/>
  <c r="AL5" i="11"/>
  <c r="AL4" i="11"/>
  <c r="AL3" i="11"/>
  <c r="AL2" i="11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32" i="8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4" i="9"/>
  <c r="AL3" i="8"/>
  <c r="AL4" i="8"/>
  <c r="AL5" i="8"/>
  <c r="AL6" i="8"/>
  <c r="AL7" i="8"/>
  <c r="AL8" i="8"/>
  <c r="AL9" i="8"/>
  <c r="AL10" i="8"/>
  <c r="AL11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3" i="8"/>
  <c r="AL2" i="8"/>
  <c r="V3" i="2"/>
  <c r="V4" i="2"/>
  <c r="V5" i="2"/>
  <c r="V6" i="2"/>
  <c r="V7" i="2"/>
  <c r="V8" i="2"/>
  <c r="V9" i="2"/>
  <c r="AU33" i="6"/>
  <c r="AU32" i="6"/>
  <c r="AU31" i="6"/>
  <c r="AU30" i="6"/>
  <c r="AU34" i="6"/>
  <c r="AU3" i="6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2" i="6"/>
  <c r="P3" i="5"/>
  <c r="P4" i="5"/>
  <c r="P5" i="5"/>
  <c r="P6" i="5"/>
  <c r="P7" i="5"/>
  <c r="P8" i="5"/>
  <c r="P9" i="5"/>
  <c r="P2" i="5"/>
  <c r="C3" i="4"/>
  <c r="C4" i="4"/>
  <c r="C5" i="4"/>
  <c r="C6" i="4"/>
  <c r="C7" i="4"/>
  <c r="C8" i="4"/>
  <c r="C9" i="4"/>
  <c r="C2" i="4"/>
  <c r="D6" i="3"/>
  <c r="D7" i="3"/>
  <c r="D8" i="3"/>
  <c r="D9" i="3"/>
  <c r="D10" i="3"/>
  <c r="D11" i="3"/>
  <c r="D12" i="3"/>
  <c r="D5" i="3"/>
</calcChain>
</file>

<file path=xl/sharedStrings.xml><?xml version="1.0" encoding="utf-8"?>
<sst xmlns="http://schemas.openxmlformats.org/spreadsheetml/2006/main" count="4029" uniqueCount="932">
  <si>
    <t>866dabc4-6501-44d2-a0e5-65da9c45a46e</t>
  </si>
  <si>
    <t>2012-01-18</t>
  </si>
  <si>
    <t>1994-12-23</t>
  </si>
  <si>
    <t>1995-01-02</t>
  </si>
  <si>
    <t>1994-12-24</t>
  </si>
  <si>
    <t>1995-01-03</t>
  </si>
  <si>
    <t>1994-12-25</t>
  </si>
  <si>
    <t>1995-01-04</t>
  </si>
  <si>
    <t>1994-12-26</t>
  </si>
  <si>
    <t>1995-01-05</t>
  </si>
  <si>
    <t>1994-12-27</t>
  </si>
  <si>
    <t>1995-01-06</t>
  </si>
  <si>
    <t>1994-12-28</t>
  </si>
  <si>
    <t>1995-01-07</t>
  </si>
  <si>
    <t>1994-12-29</t>
  </si>
  <si>
    <t>1995-01-08</t>
  </si>
  <si>
    <t>Id</t>
  </si>
  <si>
    <t xml:space="preserve"> "EmployeeId"</t>
  </si>
  <si>
    <t xml:space="preserve"> "FirstName"</t>
  </si>
  <si>
    <t xml:space="preserve"> "LastName"</t>
  </si>
  <si>
    <t xml:space="preserve"> "Signature"</t>
  </si>
  <si>
    <t xml:space="preserve"> "IsPartTime"</t>
  </si>
  <si>
    <t xml:space="preserve"> "UserName"</t>
  </si>
  <si>
    <t xml:space="preserve"> "NormalizedUserName"</t>
  </si>
  <si>
    <t xml:space="preserve"> "Email"</t>
  </si>
  <si>
    <t xml:space="preserve"> "NormalizedEmail"</t>
  </si>
  <si>
    <t xml:space="preserve"> "EmailConfirmed"</t>
  </si>
  <si>
    <t xml:space="preserve"> "PasswordHash"</t>
  </si>
  <si>
    <t xml:space="preserve"> "SecurityStamp"</t>
  </si>
  <si>
    <t xml:space="preserve"> "ConcurrencyStamp"</t>
  </si>
  <si>
    <t xml:space="preserve"> "PhoneNumber"</t>
  </si>
  <si>
    <t xml:space="preserve"> "PhoneNumberConfirmed"</t>
  </si>
  <si>
    <t xml:space="preserve"> "TwoFactorEnabled"</t>
  </si>
  <si>
    <t xml:space="preserve"> "LockoutEnd"</t>
  </si>
  <si>
    <t xml:space="preserve"> "LockoutEnabled"</t>
  </si>
  <si>
    <t xml:space="preserve"> "AccessFailedCount")</t>
  </si>
  <si>
    <t>gen</t>
  </si>
  <si>
    <t>NULL</t>
  </si>
  <si>
    <t>4dbc7800-d343-4d6e-ab27-a7706b0cd126</t>
  </si>
  <si>
    <t>AQAAAAEAACcQAAAAEGEZl8LrZ8xv31BTdWZ+mtvxkRDq2XHbjXphN44J+/QjS9MKKvTc0c+ieaG9C4NBTg==</t>
  </si>
  <si>
    <t>5F6FHQGLKMHYTFQLDDCIDTITVVTNNGVX</t>
  </si>
  <si>
    <t>0dc239e5-41eb-4767-bbf4-aff5a0617e2f</t>
  </si>
  <si>
    <t>a7c93a18-5c50-4e28-b02d-3b50cc3e17f1</t>
  </si>
  <si>
    <t>9453a296-a401-72a7-bf81-bca7ab0fa401</t>
  </si>
  <si>
    <t>f903d36f-2531-4916-86bb-7b051aac7029</t>
  </si>
  <si>
    <t>baad21b1-6d08-4823-8cf3-0776a6266488</t>
  </si>
  <si>
    <t>9453a296-a401-a345-bf81-bca7ab0f73b5</t>
  </si>
  <si>
    <t>9453a296-a401-480b-bf81-bca7ab0f72a7</t>
  </si>
  <si>
    <t>userId</t>
  </si>
  <si>
    <t>RoleId</t>
  </si>
  <si>
    <t>2025-03-13 06:44:05.251356+00</t>
  </si>
  <si>
    <t>UserIncome</t>
  </si>
  <si>
    <t>2025-03-13 06:44:12.673942+00</t>
  </si>
  <si>
    <t>2025-03-13 06:43:53.391525+00</t>
  </si>
  <si>
    <t>2025-03-13 06:34:22.149052+00</t>
  </si>
  <si>
    <t>2025-03-13 06:43:33.754449+00</t>
  </si>
  <si>
    <t>2025-03-13 06:39:46.685407+00</t>
  </si>
  <si>
    <t>2025-03-13 06:44:20.488909+00</t>
  </si>
  <si>
    <t>2025-03-13 06:42:29.455616+00</t>
  </si>
  <si>
    <t>2025-03-13 06:40:04.332113+00</t>
  </si>
  <si>
    <t>2025-03-13 06:43:21.662104+00</t>
  </si>
  <si>
    <t>2025-03-13 06:40:15.952421+00</t>
  </si>
  <si>
    <t>2025-03-13 06:43:27.83884+00</t>
  </si>
  <si>
    <t>M</t>
  </si>
  <si>
    <t>F</t>
  </si>
  <si>
    <t>Created</t>
  </si>
  <si>
    <t>CreatedBy</t>
  </si>
  <si>
    <t>Updated</t>
  </si>
  <si>
    <t>UpdatedBy</t>
  </si>
  <si>
    <t>IsActive</t>
  </si>
  <si>
    <t>PatientId</t>
  </si>
  <si>
    <t>Temporary</t>
  </si>
  <si>
    <t>Mode</t>
  </si>
  <si>
    <t>HdfType</t>
  </si>
  <si>
    <t>SubstituteVolume</t>
  </si>
  <si>
    <t>IvSupplementVolume</t>
  </si>
  <si>
    <t>IvSupplementPosition</t>
  </si>
  <si>
    <t>DryWeight</t>
  </si>
  <si>
    <t>ExcessFluidRemovalAmount</t>
  </si>
  <si>
    <t>BloodFlow</t>
  </si>
  <si>
    <t>BloodTransfusion</t>
  </si>
  <si>
    <t>ExtraFluid</t>
  </si>
  <si>
    <t>Duration</t>
  </si>
  <si>
    <t>Frequency</t>
  </si>
  <si>
    <t>Anticoagulant</t>
  </si>
  <si>
    <t>AcPerSession</t>
  </si>
  <si>
    <t>InitialAmount</t>
  </si>
  <si>
    <t>MaintainAmount</t>
  </si>
  <si>
    <t>ReasonForRefraining</t>
  </si>
  <si>
    <t>AcPerSessionMl</t>
  </si>
  <si>
    <t>InitialAmountMl</t>
  </si>
  <si>
    <t>MaintainAmountMl</t>
  </si>
  <si>
    <t>DialysateK</t>
  </si>
  <si>
    <t>DialysateCa</t>
  </si>
  <si>
    <t>HCO3</t>
  </si>
  <si>
    <t>Na</t>
  </si>
  <si>
    <t>DialysateTemperature</t>
  </si>
  <si>
    <t>DialysateFlowRate</t>
  </si>
  <si>
    <t>BloodAccessRoute</t>
  </si>
  <si>
    <t>ANeedleCC</t>
  </si>
  <si>
    <t>VNeedleCC</t>
  </si>
  <si>
    <t>ArterialNeedle</t>
  </si>
  <si>
    <t>VenousNeedle</t>
  </si>
  <si>
    <t>Dialyzer</t>
  </si>
  <si>
    <t>DialyzerSurfaceArea</t>
  </si>
  <si>
    <t>AvgDialyzerReuse</t>
  </si>
  <si>
    <t>DialysisNurse</t>
  </si>
  <si>
    <t>Note</t>
  </si>
  <si>
    <t>DialyzerId</t>
  </si>
  <si>
    <t>b25379c3-dc0d-4791-b222-a6354fa53b5d</t>
  </si>
  <si>
    <t>2025-03-16 03:00:05.236692+00</t>
  </si>
  <si>
    <t>3e8b2a4d-f06c-4b74-873a-6a1f56e9b5df</t>
  </si>
  <si>
    <t>f9b4d3c2-7a59-4b1a-89b0-14a3c04bfae2</t>
  </si>
  <si>
    <t>2c4a8f97-3d71-40e7-a8c4-28bcbfc23b35</t>
  </si>
  <si>
    <t>7b152e30-0c4f-41d1-a637-84ebad5a8579</t>
  </si>
  <si>
    <t>94d93217-19d0-43c5-b0da-8c4a3741c771</t>
  </si>
  <si>
    <t>c3e452d6-6f1e-4b9d-8c68-5f24d0e73945</t>
  </si>
  <si>
    <t>67f8239d-a7ea-4efb-b14c-6b8c8e64bcd4</t>
  </si>
  <si>
    <t>d5294cb9-3161-4149-8f02-89f3f9f7d6b4</t>
  </si>
  <si>
    <t>b5c2a478-fb4e-43d5-b601-c426fb8a906c</t>
  </si>
  <si>
    <t>1d5e0a8b-76f7-46cd-9e47-2eb7f98f47e2</t>
  </si>
  <si>
    <t>a09c56df-c477-4a3f-a905-7392d3f6cb4f</t>
  </si>
  <si>
    <t>5c1f407e-46b8-4092-8be1-22708b3e3d3b</t>
  </si>
  <si>
    <t>e3b9f574-66f6-4021-a26d-7cb5b9f77d3b</t>
  </si>
  <si>
    <t>33a8c5f4-d2fc-4f67-8a43-2fb2c9d826d4</t>
  </si>
  <si>
    <t>b7ef23c9-043e-4a47-a68f-7123f9a27584</t>
  </si>
  <si>
    <t>728de94d-48b4-4cf3-a10b-0f75cde7b7d6</t>
  </si>
  <si>
    <t>196c3eb2-62ff-4568-9311-7cd24b1e5d92</t>
  </si>
  <si>
    <t>c1bfa478-7ea9-44cd-8fd3-1a4d9f0c8e37</t>
  </si>
  <si>
    <t>2e0f95c1-8bda-40d9-8497-5fd5cdce7284</t>
  </si>
  <si>
    <t>0f34b8c9-5293-4c45-b2a4-8e2d7f8dcb36</t>
  </si>
  <si>
    <t>84b9c3f2-1a05-42e7-911d-4e5c2a7d4b92</t>
  </si>
  <si>
    <t>7a9d82e3-67f5-41f9-b3c8-2a4f5e0d7b91</t>
  </si>
  <si>
    <t>461c8f7b-b9e2-4e37-95a8-1d74f93a6c85</t>
  </si>
  <si>
    <t>d72f48a9-8b63-4f8d-847c-3a5b0c1e9f62</t>
  </si>
  <si>
    <t>5e8b1a3c-9f47-4d2b-b8e7-a31c5d7f2b64</t>
  </si>
  <si>
    <t>a3b72e91-5d48-4c9f-81f7-2d0c6b4a5e38</t>
  </si>
  <si>
    <t>4:05:00</t>
  </si>
  <si>
    <t>d2c4a7f9-3b81-401e-92d8-4c75b8e36f12</t>
  </si>
  <si>
    <t>8f4d23a7-6e91-4c5b-b2c9-71d5f38a0e57</t>
  </si>
  <si>
    <t>-3</t>
  </si>
  <si>
    <t>-4</t>
  </si>
  <si>
    <t>5e8b1a3c-9f47-4d2b-b8e7-a31c5d7f2b65</t>
  </si>
  <si>
    <t>d2c4a7f9-3b81-401e-92d8-4c75b8e36f13</t>
  </si>
  <si>
    <t>8f4d23a7-6e91-4c5b-b2c9-71d5f38a0e58</t>
  </si>
  <si>
    <t>a3b72e91-5d48-4c9f-81f7-2d0c6b4a5e39</t>
  </si>
  <si>
    <t>ee7268d6-3012-4918-ad50-df59ac091c9d</t>
  </si>
  <si>
    <t>258a7d9f-5fa7-4eae-8d31-bb7f64d35a79</t>
  </si>
  <si>
    <t>4875d3e5-9a6d-41c5-b3d5-7b4359c1baad</t>
  </si>
  <si>
    <t>832bd9bf-6d52-4261-8eb0-80c3ca1fa1dd</t>
  </si>
  <si>
    <t>8090c38f-ca53-4238-810d-811a59e6cc68</t>
  </si>
  <si>
    <t>83ae307c-cd8c-4564-b0e8-da8d0b3f63fc</t>
  </si>
  <si>
    <t>ca5037bc-1ffb-4fcb-a5d0-495c3cd5aa99</t>
  </si>
  <si>
    <t>6ac9ae0c-53d1-497e-9e7d-3ce976d1f0d8</t>
  </si>
  <si>
    <t>AQAAAAEAACcQAAAAECLgwpQBrwoMBrr9nWwzagGyGzRAj0KLbjTIYZgidQ1bmGFGTq1tZbOIlA9gc8vvrQ==</t>
  </si>
  <si>
    <t>AQAAAAEAACcQAAAAEDvIyA3NZIWUkhnOuDJm2BF8i6yZQaI3wQBk6anHwe/zbWorI9sqbXa3lHdE9slJiA==</t>
  </si>
  <si>
    <t>AQAAAAEAACcQAAAAEDhiJSuDkGzdWrq402YkvxcwBxE3jeEZdK6SXGrk8TR0Phwns7ebXrT8pNbl093vwQ==</t>
  </si>
  <si>
    <t>AQAAAAEAACcQAAAAEFhXCj4OhvYhIHWQ/0eh93zUCtMwGByiZ0OAqb7edQmpGvW2fP9i5ErcH5F/56w9rA==</t>
  </si>
  <si>
    <t>AQAAAAEAACcQAAAAEMXe/8qIMEM1DjwKMefYOL29ox39u8ELM6Zw5T9tX0fIW0wOSnLlAlqnfx7VNUekYg==</t>
  </si>
  <si>
    <t>AQAAAAEAACcQAAAAEDcF3kZIljQnnDnS8RaIiSv/+5dedc4T8g673HEY+ITjvgpSX82KvRN//XfKtekjgA==</t>
  </si>
  <si>
    <t>AQAAAAEAACcQAAAAEOZOlp1yRVcUqC0pT8anNRMTnvOBDAF2YMV+uz56NJrTibFtqBHoITi0oxo4P93zcQ==</t>
  </si>
  <si>
    <t>AQAAAAEAACcQAAAAEEFVAKyjlgAIUTKz7rbdXJIq9lLHZFlvWkBA6vRLKZZ14pxzXUS8RJibsWdhXas4Aw==</t>
  </si>
  <si>
    <t>X6NMOGQCLAIU2MNAUBF6JL7MDIMRMLEI</t>
  </si>
  <si>
    <t>YE5UAFKK47JOJQHX7O6B2AJDPWCCUBKY</t>
  </si>
  <si>
    <t>BH5B6OVVFSHLRXMHBMSZQ77S53ZROUTF</t>
  </si>
  <si>
    <t>KUDFRXGYWA4BQNEJ5PSEPUWZXZWXB2Z5</t>
  </si>
  <si>
    <t>TTIVS7Z4ZY64UJCV5EVGFKFMCQVLL54V</t>
  </si>
  <si>
    <t>QESSQCWHP6TGCQXSWOF6WMDHPX7Y2TPY</t>
  </si>
  <si>
    <t>6R5LOQYAFZRGPJVRDIGJPMGGI5NLIDDG</t>
  </si>
  <si>
    <t>4OWG4FC2VJ7BTD6CPPFPI2G3PX7RLB7Y</t>
  </si>
  <si>
    <t>932124df-b3f0-4af3-bc5a-ff59a6165196</t>
  </si>
  <si>
    <t>e2dee0f0-defb-47d4-bfb1-6b9d4ad148ce</t>
  </si>
  <si>
    <t>14cb475e-6963-4546-bfa2-e2bab482003b</t>
  </si>
  <si>
    <t>fad281eb-5f47-43bd-b214-7102b2426675</t>
  </si>
  <si>
    <t>b8c47777-cca3-4df1-86be-d8aab8abf878</t>
  </si>
  <si>
    <t>5c6b9f0b-a0e6-4b0d-914e-b1333e4bb8c3</t>
  </si>
  <si>
    <t>9ff6eac9-6ec0-483a-be33-d1c8633b715e</t>
  </si>
  <si>
    <t>b7e078db-6073-46f6-bed8-a85454816e2c</t>
  </si>
  <si>
    <t xml:space="preserve"> "Created"</t>
  </si>
  <si>
    <t xml:space="preserve"> "CreatedBy"</t>
  </si>
  <si>
    <t xml:space="preserve"> "Updated"</t>
  </si>
  <si>
    <t xml:space="preserve"> "UpdatedBy"</t>
  </si>
  <si>
    <t xml:space="preserve"> "IsActive"</t>
  </si>
  <si>
    <t xml:space="preserve"> "PatientId"</t>
  </si>
  <si>
    <t xml:space="preserve"> "CompletedTime"</t>
  </si>
  <si>
    <t xml:space="preserve"> "Admission"</t>
  </si>
  <si>
    <t xml:space="preserve"> "OutsideUnit"</t>
  </si>
  <si>
    <t xml:space="preserve"> "Ward"</t>
  </si>
  <si>
    <t xml:space="preserve"> "Bed"</t>
  </si>
  <si>
    <t xml:space="preserve"> "CycleStartTime"</t>
  </si>
  <si>
    <t xml:space="preserve"> "CycleEndTime"</t>
  </si>
  <si>
    <t xml:space="preserve"> "IsICU"</t>
  </si>
  <si>
    <t xml:space="preserve"> "Type"</t>
  </si>
  <si>
    <t xml:space="preserve"> "AcNotUsed"</t>
  </si>
  <si>
    <t xml:space="preserve"> "Dehydration_LastPostWeight"</t>
  </si>
  <si>
    <t xml:space="preserve"> "Dehydration_PreTotalWeight"</t>
  </si>
  <si>
    <t xml:space="preserve"> "Dehydration_WheelchairWeight"</t>
  </si>
  <si>
    <t xml:space="preserve"> "Dehydration_ClothWeight"</t>
  </si>
  <si>
    <t xml:space="preserve"> "Dehydration_FoodDrinkWeight"</t>
  </si>
  <si>
    <t xml:space="preserve"> "Dehydration_UFGoal"</t>
  </si>
  <si>
    <t xml:space="preserve"> "Dehydration_PostTotalWeight"</t>
  </si>
  <si>
    <t xml:space="preserve"> "Dehydration_PostWheelchairWeight"</t>
  </si>
  <si>
    <t xml:space="preserve"> "Dehydration_Abnormal"</t>
  </si>
  <si>
    <t xml:space="preserve"> "Dehydration_Reason"</t>
  </si>
  <si>
    <t xml:space="preserve"> "DialysisPrescriptionId"</t>
  </si>
  <si>
    <t xml:space="preserve"> "Dialyzer_UseNo"</t>
  </si>
  <si>
    <t xml:space="preserve"> "Dialyzer_TCV"</t>
  </si>
  <si>
    <t xml:space="preserve"> "DoctorConsent"</t>
  </si>
  <si>
    <t xml:space="preserve"> "ShiftSectionId"</t>
  </si>
  <si>
    <t xml:space="preserve"> "TreatmentNo"</t>
  </si>
  <si>
    <t xml:space="preserve"> "DoctorId"</t>
  </si>
  <si>
    <t xml:space="preserve"> "SentPDF"</t>
  </si>
  <si>
    <t xml:space="preserve"> "Dialyzer_Grade"</t>
  </si>
  <si>
    <t>2025-05-31 08:27:43.267332+00</t>
  </si>
  <si>
    <t>int</t>
  </si>
  <si>
    <t>Unit1</t>
  </si>
  <si>
    <t>null</t>
  </si>
  <si>
    <t>2022-04-01 08:27:00+00</t>
  </si>
  <si>
    <t>2022-04-02 08:27:00+00</t>
  </si>
  <si>
    <t>real</t>
  </si>
  <si>
    <t>wef</t>
  </si>
  <si>
    <t>"Id"</t>
  </si>
  <si>
    <t xml:space="preserve"> "EntryTime"</t>
  </si>
  <si>
    <t xml:space="preserve"> "LabItemId"</t>
  </si>
  <si>
    <t xml:space="preserve"> "LabValue"</t>
  </si>
  <si>
    <t xml:space="preserve"> "Note"</t>
  </si>
  <si>
    <t xml:space="preserve"> "IsHemosheetIgnore")</t>
  </si>
  <si>
    <t>00000000-0000-0000-0000-000000000000</t>
  </si>
  <si>
    <t>9e216765-0bed-425d-9949-2969c16ea36c</t>
  </si>
  <si>
    <t>6270beff-f9cb-4b78-8764-9d0214c83ead</t>
  </si>
  <si>
    <t>0528f4b2-0f91-4706-88e6-d710bb3c35f0</t>
  </si>
  <si>
    <t>04ed1a66-1482-48a9-bdc6-d0f1287d034c</t>
  </si>
  <si>
    <t>b4b11d38-b0b0-4ddd-9a20-6efa35febc82</t>
  </si>
  <si>
    <t>dd304352-2cad-464c-8e6e-2d44a1081de0</t>
  </si>
  <si>
    <t>84632692-3efe-4c42-a43c-57c2beda1cf9</t>
  </si>
  <si>
    <t>a24e3e8c-2d09-418e-ad80-75f83e26bd14</t>
  </si>
  <si>
    <t>f582ff77-c072-4f18-9de1-931f44800f61</t>
  </si>
  <si>
    <t>deb290bb-a3b5-4e5c-b6e3-8f50e18ee0bf</t>
  </si>
  <si>
    <t>e98b8680-c585-4034-b764-b60ac04aa061</t>
  </si>
  <si>
    <t>13988560-766b-4638-ae95-508b5455f121</t>
  </si>
  <si>
    <t>e01f1eaf-f0ec-43f5-bfbb-6b9f36769617</t>
  </si>
  <si>
    <t>d9fdba0a-0352-4501-aaac-061e4c84435a</t>
  </si>
  <si>
    <t>ef696d55-118d-4822-95c8-a8816a3117e8</t>
  </si>
  <si>
    <t>d473d82c-0612-4832-9784-31518d3f47fa</t>
  </si>
  <si>
    <t>5e08b702-2bd7-4b8d-b8e3-ceda34a9db63</t>
  </si>
  <si>
    <t>a19cf7dd-1a8f-4710-9748-e94576874fbb</t>
  </si>
  <si>
    <t>52600f9a-7af7-4108-8a14-71364081cbd6</t>
  </si>
  <si>
    <t>87d39431-e5ad-4173-aee2-36939421ba00</t>
  </si>
  <si>
    <t>4e9fce3c-dd84-40bf-a99c-c8e2a2700c4c</t>
  </si>
  <si>
    <t>96d9ac55-6ffc-4dbe-b7af-04fc963c6607</t>
  </si>
  <si>
    <t>553c2dac-9912-41c1-aa94-fa05769b25f1</t>
  </si>
  <si>
    <t>5d8dda49-66e6-4088-a6ae-bc4cdc892f65</t>
  </si>
  <si>
    <t>74fedda5-607f-4da8-a0dc-f5e1ed7eb7c5</t>
  </si>
  <si>
    <t>d7e81c5c-4c62-4bc7-af22-450d947b403e</t>
  </si>
  <si>
    <t>5962e9d1-9b62-4428-9b0c-fbdf71001dfc</t>
  </si>
  <si>
    <t>7d484e3e-1dac-4a5d-bc0d-4f9aacc69207</t>
  </si>
  <si>
    <t>f27c813c-1cd2-4049-9359-4ecdba1db280</t>
  </si>
  <si>
    <t>5a176719-c3ad-43e9-b607-0d1ca5cbcd80</t>
  </si>
  <si>
    <t>fa09160c-fe22-4cb6-a6c2-0b40d38ef97d</t>
  </si>
  <si>
    <t>1d5b0de6-9241-42d6-a969-60d24d970a4b</t>
  </si>
  <si>
    <t>5a157a2b-ba09-419c-8603-a0d12676257e</t>
  </si>
  <si>
    <t>a869c0e6-aa5a-46a2-b513-e24a33755b3e</t>
  </si>
  <si>
    <t>e48d0d86-d846-4975-9968-eef2db339427</t>
  </si>
  <si>
    <t>2af12040-d845-4e4a-b678-4661686937ef</t>
  </si>
  <si>
    <t>259fac88-a059-43a5-a6e0-0dda3f56c7f7</t>
  </si>
  <si>
    <t>4a5dc650-fe8e-4455-9eba-dd5066f75196</t>
  </si>
  <si>
    <t>ba6b7cc8-500e-48c8-8fa8-6693042a5ee8</t>
  </si>
  <si>
    <t>8cb158ab-5798-4772-93aa-ebd7008e7c83</t>
  </si>
  <si>
    <t>82f78e47-6fd1-4846-b30f-2f6c39ce7f46</t>
  </si>
  <si>
    <t>2022-02-02 16:24:00+00</t>
  </si>
  <si>
    <t>8753741f-bcc4-48e2-a2f1-3984d15afb9a</t>
  </si>
  <si>
    <t>8586cb82-9210-4b63-af63-a16b8c931c8f</t>
  </si>
  <si>
    <t>b9c69486-4df9-40ec-926e-5424e482e11d</t>
  </si>
  <si>
    <t>4865ba95-ff21-401e-8be1-b0d23bb4457e</t>
  </si>
  <si>
    <t>9b653f18-a300-4548-b6af-3d5d56a49217</t>
  </si>
  <si>
    <t>f732128d-61be-468f-89e9-503220c7bdd9</t>
  </si>
  <si>
    <t>2ff359d8-6468-40c5-92e2-a22118edc0e6</t>
  </si>
  <si>
    <t>a4a91881-ece5-4dd4-8d43-144442abdf44</t>
  </si>
  <si>
    <t>ca86ae54-93be-4929-b501-b8bbd491e22f</t>
  </si>
  <si>
    <t>d34c3199-5b48-4553-8f42-5190fdf566bc</t>
  </si>
  <si>
    <t>58b227c0-1d9e-4f48-913f-409d7203b345</t>
  </si>
  <si>
    <t>765aff67-0102-4815-933d-79150e696e3a</t>
  </si>
  <si>
    <t>dbc51cbb-c5d0-4808-9972-0aafa56dc684</t>
  </si>
  <si>
    <t>646a54ef-f591-4084-acfa-458256cd4100</t>
  </si>
  <si>
    <t>c015f3aa-3896-400c-8ec6-3603fffe6e5e</t>
  </si>
  <si>
    <t>13317633-a358-438c-b0bc-e5c353ea44c8</t>
  </si>
  <si>
    <t>8f7bf747-7e81-4d05-a057-5776a6e9916b</t>
  </si>
  <si>
    <t>1dca79a4-5d58-4ff6-a5a1-87e0073776cd</t>
  </si>
  <si>
    <t>1b4265b9-adc6-4ca4-9dab-eaea90c2aa48</t>
  </si>
  <si>
    <t>650553e0-18ab-41d9-b592-f75fb11ca7fc</t>
  </si>
  <si>
    <t>cb83edc0-119e-4fb7-ad14-6862edb15d64</t>
  </si>
  <si>
    <t>d0bfd37d-5bd1-445f-b53b-8479d171e296</t>
  </si>
  <si>
    <t>5a423036-a02b-4f87-bec4-6a14169e6e3a</t>
  </si>
  <si>
    <t>c8a85dad-82f8-4826-9179-8e38a2a9b906</t>
  </si>
  <si>
    <t>ac19924c-14a3-4680-8f55-e743cc0bc74d</t>
  </si>
  <si>
    <t>adf876db-d4f2-489e-803b-a93f5a0aa9fd</t>
  </si>
  <si>
    <t>อย่างน้อย 3 เดือน</t>
  </si>
  <si>
    <t>2024-01-01 16:24:00+00</t>
  </si>
  <si>
    <t>2022-01-04 16:24:00+01</t>
  </si>
  <si>
    <t>2022-01-08 16:24:00+02</t>
  </si>
  <si>
    <t>2022-01-11 16:24:00+03</t>
  </si>
  <si>
    <t>2022-01-15 16:24:00+04</t>
  </si>
  <si>
    <t>2022-01-18 16:24:00+05</t>
  </si>
  <si>
    <t>2022-01-22 16:24:00+06</t>
  </si>
  <si>
    <t>2022-01-25 16:24:00+07</t>
  </si>
  <si>
    <t>2022-01-29 16:24:00+08</t>
  </si>
  <si>
    <t>2022-02-08 16:24:00+00</t>
  </si>
  <si>
    <t>2022-02-12 16:24:00+00</t>
  </si>
  <si>
    <t>2022-02-15 16:24:00+00</t>
  </si>
  <si>
    <t>2022-02-19 16:24:00+00</t>
  </si>
  <si>
    <t>2022-02-22 16:24:00+00</t>
  </si>
  <si>
    <t>2022-02-26 16:24:00+00</t>
  </si>
  <si>
    <t>2022-02-29 16:24:00+00</t>
  </si>
  <si>
    <t>2022-02-01 16:24:00+09</t>
  </si>
  <si>
    <t>2022-03-04 16:24:00+00</t>
  </si>
  <si>
    <t>2022-03-07 16:24:00+00</t>
  </si>
  <si>
    <t>2025-03-11 15:47:00+01</t>
  </si>
  <si>
    <t>2025-03-14 15:47:00+02</t>
  </si>
  <si>
    <t>2025-03-18 15:47:00+02</t>
  </si>
  <si>
    <t>2025-03-21 15:47:00+02</t>
  </si>
  <si>
    <t>2025-03-25 15:47:00+03</t>
  </si>
  <si>
    <t>2025-03-28 15:47:00+03</t>
  </si>
  <si>
    <t>001</t>
  </si>
  <si>
    <t>2024-01-01</t>
  </si>
  <si>
    <t>2024-01-04</t>
  </si>
  <si>
    <t>2024-01-08</t>
  </si>
  <si>
    <t>2024-01-11</t>
  </si>
  <si>
    <t>2024-01-15</t>
  </si>
  <si>
    <t>2024-01-18</t>
  </si>
  <si>
    <t>2024-01-22</t>
  </si>
  <si>
    <t>2024-01-25</t>
  </si>
  <si>
    <t>2024-01-29</t>
  </si>
  <si>
    <t>2024-02-01</t>
  </si>
  <si>
    <t>2024-02-02</t>
  </si>
  <si>
    <t>2024-02-08</t>
  </si>
  <si>
    <t>2024-02-12</t>
  </si>
  <si>
    <t>2024-02-15</t>
  </si>
  <si>
    <t>2024-02-19</t>
  </si>
  <si>
    <t>2024-02-22</t>
  </si>
  <si>
    <t>2024-02-26</t>
  </si>
  <si>
    <t>2024-02-29</t>
  </si>
  <si>
    <t>2024-03-04</t>
  </si>
  <si>
    <t>2024-03-07</t>
  </si>
  <si>
    <t>2024-03-11</t>
  </si>
  <si>
    <t>2024-03-14</t>
  </si>
  <si>
    <t>2024-03-18</t>
  </si>
  <si>
    <t>2024-03-21</t>
  </si>
  <si>
    <t>2024-03-25</t>
  </si>
  <si>
    <t>2024-03-28</t>
  </si>
  <si>
    <t>f04be108-eb7e-470f-9fea-cccc2ffef804</t>
  </si>
  <si>
    <t>2024-07-02 16:24:00+00</t>
  </si>
  <si>
    <t>2024-07-04 16:24:00+00</t>
  </si>
  <si>
    <t>2024-07-06 16:24:00+00</t>
  </si>
  <si>
    <t>2024-07-09 16:24:00+00</t>
  </si>
  <si>
    <t>2024-07-11 16:24:00+00</t>
  </si>
  <si>
    <t>2024-07-13 16:24:00+00</t>
  </si>
  <si>
    <t>2024-07-16 16:24:00+00</t>
  </si>
  <si>
    <t>2024-07-18 16:24:00+00</t>
  </si>
  <si>
    <t>2024-07-20 16:24:00+00</t>
  </si>
  <si>
    <t>2024-07-23 16:24:00+00</t>
  </si>
  <si>
    <t>2024-07-25 16:24:00+00</t>
  </si>
  <si>
    <t>2024-07-27 16:24:00+00</t>
  </si>
  <si>
    <t>2024-08-30 16:24:00+00</t>
  </si>
  <si>
    <t>2024-08-01 16:24:00+00</t>
  </si>
  <si>
    <t>2024-08-03 16:24:00+00</t>
  </si>
  <si>
    <t>2024-08-06 16:24:00+01</t>
  </si>
  <si>
    <t>2024-08-08 16:24:00+01</t>
  </si>
  <si>
    <t>2024-08-10 16:24:00+01</t>
  </si>
  <si>
    <t>2024-08-13 16:24:00+02</t>
  </si>
  <si>
    <t>2024-08-15 16:24:00+02</t>
  </si>
  <si>
    <t>2024-08-17 16:24:00+02</t>
  </si>
  <si>
    <t>2024-08-20 16:24:00+03</t>
  </si>
  <si>
    <t>2024-08-22 16:24:00+03</t>
  </si>
  <si>
    <t>2024-08-24 16:24:00+03</t>
  </si>
  <si>
    <t>2024-08-27 16:24:00+04</t>
  </si>
  <si>
    <t>2024-08-29 16:24:00+04</t>
  </si>
  <si>
    <t>2024-08-31 16:24:00+04</t>
  </si>
  <si>
    <t>2024-09-03 16:24:00+00</t>
  </si>
  <si>
    <t>2024-09-10 16:24:00+01</t>
  </si>
  <si>
    <t>2024-09-17 16:24:00+02</t>
  </si>
  <si>
    <t>2024-09-24 16:24:00+03</t>
  </si>
  <si>
    <t>2024-09-05 16:24:00+00</t>
  </si>
  <si>
    <t>2024-09-07 16:24:00+00</t>
  </si>
  <si>
    <t>2024-09-12 16:24:00+01</t>
  </si>
  <si>
    <t>2024-09-14 16:24:00+01</t>
  </si>
  <si>
    <t>2024-09-19 16:24:00+02</t>
  </si>
  <si>
    <t>2024-09-21 16:24:00+02</t>
  </si>
  <si>
    <t>2024-09-26 16:24:00+03</t>
  </si>
  <si>
    <t>2024-09-28 16:24:00+03</t>
  </si>
  <si>
    <t>2024-10-01 16:24:00+04</t>
  </si>
  <si>
    <t>2024-10-03 16:24:00+04</t>
  </si>
  <si>
    <t>2024-10-05 16:24:00+04</t>
  </si>
  <si>
    <t>e341408f-d777-4ab7-a06b-cae2b3bf5cff</t>
  </si>
  <si>
    <t>ac8fe1a2-288f-4d53-a9ea-0058ceb17134</t>
  </si>
  <si>
    <t>cbc776a5-f4dd-4193-8c08-b8943d95eb4f</t>
  </si>
  <si>
    <t>97d435a6-b133-4f08-951c-394bc472b834</t>
  </si>
  <si>
    <t>8f2323c1-ce47-4acd-992f-80caf64eeae4</t>
  </si>
  <si>
    <t>dcbff15a-4e4d-4957-bba9-fee79d6ba025</t>
  </si>
  <si>
    <t>b425a896-4085-42da-acd9-0b90b46bea5d</t>
  </si>
  <si>
    <t>a478452d-b4d3-424d-96cc-70c724ad38a4</t>
  </si>
  <si>
    <t>4a17e2bd-9a01-4422-858c-f2b4e9668d67</t>
  </si>
  <si>
    <t>82e711ee-278a-4315-bef6-2b782267cc65</t>
  </si>
  <si>
    <t>2ab8e572-c88e-4b21-acdf-b8a0835148d8</t>
  </si>
  <si>
    <t>2f978131-a878-43c5-a5d5-7b4970f0ce68</t>
  </si>
  <si>
    <t>4021a403-6e25-47a3-bdac-ceee455d2db4</t>
  </si>
  <si>
    <t>426e6743-36ff-407e-a04a-5dccbf476347</t>
  </si>
  <si>
    <t>06ab180d-c825-4fdf-9286-f0a69f3ce764</t>
  </si>
  <si>
    <t>9827d656-85f9-491b-9b9f-705d70b7b6e6</t>
  </si>
  <si>
    <t>4b0268e9-2edd-4ab5-b5ee-431a00593d53</t>
  </si>
  <si>
    <t>f9e9ecad-3fc7-4d72-ab42-d2408ece21e8</t>
  </si>
  <si>
    <t>ce3f7c59-404f-4afa-9f13-b4da8f6c5dec</t>
  </si>
  <si>
    <t>e526aeee-b439-424e-bb7e-9567b919d19a</t>
  </si>
  <si>
    <t>a11b1186-99de-4a10-a354-ed67deadf3a8</t>
  </si>
  <si>
    <t>35a877fd-370b-4ee9-bfb4-fae8d0f81ea7</t>
  </si>
  <si>
    <t>1d3d8b65-12f2-425b-92b7-2a7a04b0ba09</t>
  </si>
  <si>
    <t>04e1d5bb-4d21-464a-83f1-a7c178df0370</t>
  </si>
  <si>
    <t>e09cd7a4-f191-4709-955f-d1a08409c6d3</t>
  </si>
  <si>
    <t>5dfdf989-4afe-44f3-868c-0563e349e3ab</t>
  </si>
  <si>
    <t>b7b4245a-fe7c-42be-baeb-54db5adf7d66</t>
  </si>
  <si>
    <t>efd15579-d91d-44c4-8db9-4d83f9bdbf34</t>
  </si>
  <si>
    <t>72ce7e62-71dc-4d5d-a8a5-9eda04222611</t>
  </si>
  <si>
    <t>83504381-69f1-4445-b6ff-0c928b0fdd75</t>
  </si>
  <si>
    <t>caeb08ff-f3da-4a07-b715-f396d3adcd2e</t>
  </si>
  <si>
    <t>da742a8a-6e6f-42ef-b33f-6b00e9b5b8d4</t>
  </si>
  <si>
    <t>43897624-d2d2-454d-b201-f2c1b9c4ead5</t>
  </si>
  <si>
    <t>fda14813-bb69-4de0-b6f2-15e4579e2a08</t>
  </si>
  <si>
    <t>1636e1d7-9a45-4f4d-801a-c3e99ba364d0</t>
  </si>
  <si>
    <t>4192b4d9-614d-406c-836e-46eab8019da8</t>
  </si>
  <si>
    <t>e3a175ad-9747-4065-8093-78c92c1b9afd</t>
  </si>
  <si>
    <t>d5181536-579d-451a-a390-9d4e9ea4fa42</t>
  </si>
  <si>
    <t>8fa69903-287f-4bfd-9597-c070c5645b5a</t>
  </si>
  <si>
    <t>f11a6764-732e-4d88-9428-f48303aa8009</t>
  </si>
  <si>
    <t>f709eb01-c3a7-4140-a965-ebe1e140d055</t>
  </si>
  <si>
    <t>f633623c-66d6-4d97-994f-b7674535cd2a</t>
  </si>
  <si>
    <t>561b3574-8922-41ce-b7f1-eb2791e94dcd</t>
  </si>
  <si>
    <t>853cd491-46bd-4fd6-952f-62973be65207</t>
  </si>
  <si>
    <t>e5912eaf-81c5-44a9-86af-273801caa87d</t>
  </si>
  <si>
    <t>3d81581b-ce4f-4225-80d5-baf510a3e1dc</t>
  </si>
  <si>
    <t>253c944c-f6c5-4fdc-ae85-ecc1ccefe47a</t>
  </si>
  <si>
    <t>9fae4030-d6d2-41d4-9ff7-9a577775a667</t>
  </si>
  <si>
    <t>c5dc6c1d-5a22-43df-a9c1-0850f2024eef</t>
  </si>
  <si>
    <t>750751cb-83ac-40b2-996c-e97290cbc4c2</t>
  </si>
  <si>
    <t>bdbd6bfc-469c-42b0-9a3d-7cd9fc37b4e3</t>
  </si>
  <si>
    <t>6b2e3647-3733-4fe9-bfbb-a020ed50d152</t>
  </si>
  <si>
    <t>08ef38b1-3173-449d-9ffa-86ed01cd59a8</t>
  </si>
  <si>
    <t>76aa31e9-06b6-4667-b459-b0fa47fbccc6</t>
  </si>
  <si>
    <t>('e341408f-d777-4ab7-a06b-cae2b3bf5cff','2025-05-31 08:27:43.267332+00','866dabc4-6501-44d2-a0e5-65da9c45a46e','2025-05-31 08:27:43.267332+00','866dabc4-6501-44d2-a0e5-65da9c45a46e',TRUE,'001','2024-07-02 16:24:00+00',0,FALSE,'Unit1','','2022-04-01 08:27:00+00','2022-04-02 08:27:00+00',FALSE,0,FALSE,78,76,0,0,0,0,78,0,FALSE,'','f04be108-eb7e-470f-9fea-cccc2ffef804',1,0,FALSE,0,1,'4dbc7800-d343-4d6e-ab27-a7706b0cd126',FALSE,0),</t>
  </si>
  <si>
    <t>('ac8fe1a2-288f-4d53-a9ea-0058ceb17134','2025-05-31 08:27:43.267332+00','866dabc4-6501-44d2-a0e5-65da9c45a46e','2025-05-31 08:27:43.267332+00','866dabc4-6501-44d2-a0e5-65da9c45a46e',TRUE,'001','2024-07-04 16:24:00+00',0,FALSE,'Unit1','','2022-04-01 08:27:00+00','2022-04-02 08:27:00+00',FALSE,0,FALSE,78,76,0,0,0,0,78,0,FALSE,'','f04be108-eb7e-470f-9fea-cccc2ffef804',1,0,FALSE,0,1,'4dbc7800-d343-4d6e-ab27-a7706b0cd126',FALSE,0),</t>
  </si>
  <si>
    <t>('cbc776a5-f4dd-4193-8c08-b8943d95eb4f','2025-05-31 08:27:43.267332+00','866dabc4-6501-44d2-a0e5-65da9c45a46e','2025-05-31 08:27:43.267332+00','866dabc4-6501-44d2-a0e5-65da9c45a46e',TRUE,'001','2024-07-06 16:24:00+00',0,FALSE,'Unit1','','2022-04-01 08:27:00+00','2022-04-02 08:27:00+00',FALSE,0,FALSE,78,76,0,0,0,0,78,0,FALSE,'','f04be108-eb7e-470f-9fea-cccc2ffef804',1,0,FALSE,0,1,'4dbc7800-d343-4d6e-ab27-a7706b0cd126',FALSE,0),</t>
  </si>
  <si>
    <t>('dcbff15a-4e4d-4957-bba9-fee79d6ba025','2025-05-31 08:27:43.267332+00','866dabc4-6501-44d2-a0e5-65da9c45a46e','2025-05-31 08:27:43.267332+00','866dabc4-6501-44d2-a0e5-65da9c45a46e',TRUE,'001','2024-07-13 16:24:00+00',0,FALSE,'Unit1','','2022-04-01 08:27:00+00','2022-04-02 08:27:00+00',FALSE,0,FALSE,78,76,0,0,0,0,78,0,FALSE,'','f04be108-eb7e-470f-9fea-cccc2ffef804',1,0,FALSE,0,1,'4dbc7800-d343-4d6e-ab27-a7706b0cd126',FALSE,0),</t>
  </si>
  <si>
    <t>('b425a896-4085-42da-acd9-0b90b46bea5d','2025-05-31 08:27:43.267332+00','866dabc4-6501-44d2-a0e5-65da9c45a46e','2025-05-31 08:27:43.267332+00','866dabc4-6501-44d2-a0e5-65da9c45a46e',TRUE,'001','2024-07-16 16:24:00+00',0,FALSE,'Unit1','','2022-04-01 08:27:00+00','2022-04-02 08:27:00+00',FALSE,0,FALSE,78,76,0,0,0,0,78,0,FALSE,'','f04be108-eb7e-470f-9fea-cccc2ffef804',1,0,FALSE,0,1,'4dbc7800-d343-4d6e-ab27-a7706b0cd126',FALSE,0),</t>
  </si>
  <si>
    <t>('2f978131-a878-43c5-a5d5-7b4970f0ce68','2025-05-31 08:27:43.267332+00','866dabc4-6501-44d2-a0e5-65da9c45a46e','2025-05-31 08:27:43.267332+00','866dabc4-6501-44d2-a0e5-65da9c45a46e',TRUE,'001','2024-07-27 16:24:00+00',0,FALSE,'Unit1','','2022-04-01 08:27:00+00','2022-04-02 08:27:00+00',FALSE,0,FALSE,78,76,0,0,0,0,78,0,FALSE,'','f04be108-eb7e-470f-9fea-cccc2ffef804',1,0,FALSE,0,1,'4dbc7800-d343-4d6e-ab27-a7706b0cd126',FALSE,0),</t>
  </si>
  <si>
    <t>('4021a403-6e25-47a3-bdac-ceee455d2db4','2025-05-31 08:27:43.267332+00','866dabc4-6501-44d2-a0e5-65da9c45a46e','2025-05-31 08:27:43.267332+00','866dabc4-6501-44d2-a0e5-65da9c45a46e',TRUE,'001','2024-08-30 16:24:00+00',0,FALSE,'Unit1','','2022-04-01 08:27:00+00','2022-04-02 08:27:00+00',FALSE,0,FALSE,78,76,0,0,0,0,78,0,FALSE,'','f04be108-eb7e-470f-9fea-cccc2ffef804',1,0,FALSE,0,1,'4dbc7800-d343-4d6e-ab27-a7706b0cd126',FALSE,0),</t>
  </si>
  <si>
    <t>('9827d656-85f9-491b-9b9f-705d70b7b6e6','2025-05-31 08:27:43.267332+00','866dabc4-6501-44d2-a0e5-65da9c45a46e','2025-05-31 08:27:43.267332+00','866dabc4-6501-44d2-a0e5-65da9c45a46e',TRUE,'001','2024-08-06 16:24:00+01',0,FALSE,'Unit1','','2022-04-01 08:27:00+00','2022-04-02 08:27:00+00',FALSE,0,FALSE,78,76,0,0,0,0,78,0,FALSE,'','f04be108-eb7e-470f-9fea-cccc2ffef804',1,0,FALSE,0,1,'4dbc7800-d343-4d6e-ab27-a7706b0cd126',FALSE,0),</t>
  </si>
  <si>
    <t>('f9e9ecad-3fc7-4d72-ab42-d2408ece21e8','2025-05-31 08:27:43.267332+00','866dabc4-6501-44d2-a0e5-65da9c45a46e','2025-05-31 08:27:43.267332+00','866dabc4-6501-44d2-a0e5-65da9c45a46e',TRUE,'001','2024-08-10 16:24:00+01',0,FALSE,'Unit1','','2022-04-01 08:27:00+00','2022-04-02 08:27:00+00',FALSE,0,FALSE,78,76,0,0,0,0,78,0,FALSE,'','f04be108-eb7e-470f-9fea-cccc2ffef804',1,0,FALSE,0,1,'4dbc7800-d343-4d6e-ab27-a7706b0cd126',FALSE,0),</t>
  </si>
  <si>
    <t>('a11b1186-99de-4a10-a354-ed67deadf3a8','2025-05-31 08:27:43.267332+00','866dabc4-6501-44d2-a0e5-65da9c45a46e','2025-05-31 08:27:43.267332+00','866dabc4-6501-44d2-a0e5-65da9c45a46e',TRUE,'001','2024-08-17 16:24:00+02',0,FALSE,'Unit1','','2022-04-01 08:27:00+00','2022-04-02 08:27:00+00',FALSE,0,FALSE,78,76,0,0,0,0,78,0,FALSE,'','f04be108-eb7e-470f-9fea-cccc2ffef804',1,0,FALSE,0,1,'4dbc7800-d343-4d6e-ab27-a7706b0cd126',FALSE,0),</t>
  </si>
  <si>
    <t>('35a877fd-370b-4ee9-bfb4-fae8d0f81ea7','2025-05-31 08:27:43.267332+00','866dabc4-6501-44d2-a0e5-65da9c45a46e','2025-05-31 08:27:43.267332+00','866dabc4-6501-44d2-a0e5-65da9c45a46e',TRUE,'001','2024-08-20 16:24:00+03',0,FALSE,'Unit1','','2022-04-01 08:27:00+00','2022-04-02 08:27:00+00',FALSE,0,FALSE,78,76,0,0,0,0,78,0,FALSE,'','f04be108-eb7e-470f-9fea-cccc2ffef804',1,0,FALSE,0,1,'4dbc7800-d343-4d6e-ab27-a7706b0cd126',FALSE,0),</t>
  </si>
  <si>
    <t>('b7b4245a-fe7c-42be-baeb-54db5adf7d66','2025-05-31 08:27:43.267332+00','866dabc4-6501-44d2-a0e5-65da9c45a46e','2025-05-31 08:27:43.267332+00','866dabc4-6501-44d2-a0e5-65da9c45a46e',TRUE,'001','2024-08-31 16:24:00+04',0,FALSE,'Unit1','','2022-04-01 08:27:00+00','2022-04-02 08:27:00+00',FALSE,0,FALSE,78,76,0,0,0,0,78,0,FALSE,'','f04be108-eb7e-470f-9fea-cccc2ffef804',1,0,FALSE,0,1,'4dbc7800-d343-4d6e-ab27-a7706b0cd126',FALSE,0),</t>
  </si>
  <si>
    <t>('efd15579-d91d-44c4-8db9-4d83f9bdbf34','2025-05-31 08:27:43.267332+00','866dabc4-6501-44d2-a0e5-65da9c45a46e','2025-05-31 08:27:43.267332+00','866dabc4-6501-44d2-a0e5-65da9c45a46e',TRUE,'001','2024-09-03 16:24:00+00',0,FALSE,'Unit1','','2022-04-01 08:27:00+00','2022-04-02 08:27:00+00',FALSE,0,FALSE,78,76,0,0,0,0,78,0,FALSE,'','f04be108-eb7e-470f-9fea-cccc2ffef804',1,0,FALSE,0,1,'4dbc7800-d343-4d6e-ab27-a7706b0cd126',FALSE,0),</t>
  </si>
  <si>
    <t>('caeb08ff-f3da-4a07-b715-f396d3adcd2e','2025-05-31 08:27:43.267332+00','866dabc4-6501-44d2-a0e5-65da9c45a46e','2025-05-31 08:27:43.267332+00','866dabc4-6501-44d2-a0e5-65da9c45a46e',TRUE,'001','2024-09-10 16:24:00+01',0,FALSE,'Unit1','','2022-04-01 08:27:00+00','2022-04-02 08:27:00+00',FALSE,0,FALSE,78,76,0,0,0,0,78,0,FALSE,'','f04be108-eb7e-470f-9fea-cccc2ffef804',1,0,FALSE,0,1,'4dbc7800-d343-4d6e-ab27-a7706b0cd126',FALSE,0),</t>
  </si>
  <si>
    <t>('43897624-d2d2-454d-b201-f2c1b9c4ead5','2025-05-31 08:27:43.267332+00','866dabc4-6501-44d2-a0e5-65da9c45a46e','2025-05-31 08:27:43.267332+00','866dabc4-6501-44d2-a0e5-65da9c45a46e',TRUE,'001','2024-09-14 16:24:00+01',0,FALSE,'Unit1','','2022-04-01 08:27:00+00','2022-04-02 08:27:00+00',FALSE,0,FALSE,78,76,0,0,0,0,78,0,FALSE,'','f04be108-eb7e-470f-9fea-cccc2ffef804',1,0,FALSE,0,1,'4dbc7800-d343-4d6e-ab27-a7706b0cd126',FALSE,0),</t>
  </si>
  <si>
    <t>('4192b4d9-614d-406c-836e-46eab8019da8','2025-05-31 08:27:43.267332+00','866dabc4-6501-44d2-a0e5-65da9c45a46e','2025-05-31 08:27:43.267332+00','866dabc4-6501-44d2-a0e5-65da9c45a46e',TRUE,'001','2024-09-21 16:24:00+02',0,FALSE,'Unit1','','2022-04-01 08:27:00+00','2022-04-02 08:27:00+00',FALSE,0,FALSE,78,76,0,0,0,0,78,0,FALSE,'','f04be108-eb7e-470f-9fea-cccc2ffef804',1,0,FALSE,0,1,'4dbc7800-d343-4d6e-ab27-a7706b0cd126',FALSE,0),</t>
  </si>
  <si>
    <t>('e3a175ad-9747-4065-8093-78c92c1b9afd','2025-05-31 08:27:43.267332+00','866dabc4-6501-44d2-a0e5-65da9c45a46e','2025-05-31 08:27:43.267332+00','866dabc4-6501-44d2-a0e5-65da9c45a46e',TRUE,'001','2024-09-24 16:24:00+03',0,FALSE,'Unit1','','2022-04-01 08:27:00+00','2022-04-02 08:27:00+00',FALSE,0,FALSE,78,76,0,0,0,0,78,0,FALSE,'','f04be108-eb7e-470f-9fea-cccc2ffef804',1,0,FALSE,0,1,'4dbc7800-d343-4d6e-ab27-a7706b0cd126',FALSE,0),</t>
  </si>
  <si>
    <t>('f633623c-66d6-4d97-994f-b7674535cd2a','2025-05-31 08:27:43.267332+00','866dabc4-6501-44d2-a0e5-65da9c45a46e','2025-05-31 08:27:43.267332+00','866dabc4-6501-44d2-a0e5-65da9c45a46e',TRUE,'001','2024-10-05 16:24:00+04',0,FALSE,'Unit1','','2022-04-01 08:27:00+00','2022-04-02 08:27:00+00',FALSE,0,FALSE,78,76,0,0,0,0,78,0,FALSE,'','f04be108-eb7e-470f-9fea-cccc2ffef804',1,0,FALSE,0,1,'4dbc7800-d343-4d6e-ab27-a7706b0cd126',FALSE,0),</t>
  </si>
  <si>
    <t>('a478452d-b4d3-424d-96cc-70c724ad38a4','2025-05-31 08:27:43.267332+00','866dabc4-6501-44d2-a0e5-65da9c45a46e','2025-05-31 08:27:43.267332+00','866dabc4-6501-44d2-a0e5-65da9c45a46e',TRUE,'001','2024-07-18 16:24:00+00',0,FALSE,'Unit1','','2022-04-01 08:27:00+00','2022-04-02 08:27:00+00',FALSE,0,FALSE,78,76,0,0,0,0,78,0,FALSE,'','f04be108-eb7e-470f-9fea-cccc2ffef804',1,0,FALSE,0,1,'4dbc7800-d343-4d6e-ab27-a7706b0cd126',FALSE,0),</t>
  </si>
  <si>
    <t>('2ab8e572-c88e-4b21-acdf-b8a0835148d8','2025-05-31 08:27:43.267332+00','866dabc4-6501-44d2-a0e5-65da9c45a46e','2025-05-31 08:27:43.267332+00','866dabc4-6501-44d2-a0e5-65da9c45a46e',TRUE,'001','2024-07-25 16:24:00+00',0,FALSE,'Unit1','','2022-04-01 08:27:00+00','2022-04-02 08:27:00+00',FALSE,0,FALSE,78,76,0,0,0,0,78,0,FALSE,'','f04be108-eb7e-470f-9fea-cccc2ffef804',1,0,FALSE,0,1,'4dbc7800-d343-4d6e-ab27-a7706b0cd126',FALSE,0),</t>
  </si>
  <si>
    <t>('4b0268e9-2edd-4ab5-b5ee-431a00593d53','2025-05-31 08:27:43.267332+00','866dabc4-6501-44d2-a0e5-65da9c45a46e','2025-05-31 08:27:43.267332+00','866dabc4-6501-44d2-a0e5-65da9c45a46e',TRUE,'001','2024-08-08 16:24:00+01',0,FALSE,'Unit1','','2022-04-01 08:27:00+00','2022-04-02 08:27:00+00',FALSE,0,FALSE,78,76,0,0,0,0,78,0,FALSE,'','f04be108-eb7e-470f-9fea-cccc2ffef804',1,0,FALSE,0,1,'4dbc7800-d343-4d6e-ab27-a7706b0cd126',FALSE,0),</t>
  </si>
  <si>
    <t>('1d3d8b65-12f2-425b-92b7-2a7a04b0ba09','2025-05-31 08:27:43.267332+00','866dabc4-6501-44d2-a0e5-65da9c45a46e','2025-05-31 08:27:43.267332+00','866dabc4-6501-44d2-a0e5-65da9c45a46e',TRUE,'001','2024-08-22 16:24:00+03',0,FALSE,'Unit1','','2022-04-01 08:27:00+00','2022-04-02 08:27:00+00',FALSE,0,FALSE,78,76,0,0,0,0,78,0,FALSE,'','f04be108-eb7e-470f-9fea-cccc2ffef804',1,0,FALSE,0,1,'4dbc7800-d343-4d6e-ab27-a7706b0cd126',FALSE,0),</t>
  </si>
  <si>
    <t>('5dfdf989-4afe-44f3-868c-0563e349e3ab','2025-05-31 08:27:43.267332+00','866dabc4-6501-44d2-a0e5-65da9c45a46e','2025-05-31 08:27:43.267332+00','866dabc4-6501-44d2-a0e5-65da9c45a46e',TRUE,'001','2024-08-29 16:24:00+04',0,FALSE,'Unit1','','2022-04-01 08:27:00+00','2022-04-02 08:27:00+00',FALSE,0,FALSE,78,76,0,0,0,0,78,0,FALSE,'','f04be108-eb7e-470f-9fea-cccc2ffef804',1,0,FALSE,0,1,'4dbc7800-d343-4d6e-ab27-a7706b0cd126',FALSE,0),</t>
  </si>
  <si>
    <t>('da742a8a-6e6f-42ef-b33f-6b00e9b5b8d4','2025-05-31 08:27:43.267332+00','866dabc4-6501-44d2-a0e5-65da9c45a46e','2025-05-31 08:27:43.267332+00','866dabc4-6501-44d2-a0e5-65da9c45a46e',TRUE,'001','2024-09-12 16:24:00+01',0,FALSE,'Unit1','','2022-04-01 08:27:00+00','2022-04-02 08:27:00+00',FALSE,0,FALSE,78,76,0,0,0,0,78,0,FALSE,'','f04be108-eb7e-470f-9fea-cccc2ffef804',1,0,FALSE,0,1,'4dbc7800-d343-4d6e-ab27-a7706b0cd126',FALSE,0),</t>
  </si>
  <si>
    <t>('d5181536-579d-451a-a390-9d4e9ea4fa42','2025-05-31 08:27:43.267332+00','866dabc4-6501-44d2-a0e5-65da9c45a46e','2025-05-31 08:27:43.267332+00','866dabc4-6501-44d2-a0e5-65da9c45a46e',TRUE,'001','2024-09-26 16:24:00+03',0,FALSE,'Unit1','','2022-04-01 08:27:00+00','2022-04-02 08:27:00+00',FALSE,0,FALSE,78,76,0,0,0,0,78,0,FALSE,'','f04be108-eb7e-470f-9fea-cccc2ffef804',1,0,FALSE,0,1,'4dbc7800-d343-4d6e-ab27-a7706b0cd126',FALSE,0),</t>
  </si>
  <si>
    <t>('f709eb01-c3a7-4140-a965-ebe1e140d055','2025-05-31 08:27:43.267332+00','866dabc4-6501-44d2-a0e5-65da9c45a46e','2025-05-31 08:27:43.267332+00','866dabc4-6501-44d2-a0e5-65da9c45a46e',TRUE,'001','2024-10-03 16:24:00+04',0,FALSE,'Unit1','','2022-04-01 08:27:00+00','2022-04-02 08:27:00+00',FALSE,0,FALSE,78,76,0,0,0,0,78,0,FALSE,'','f04be108-eb7e-470f-9fea-cccc2ffef804',1,0,FALSE,0,1,'4dbc7800-d343-4d6e-ab27-a7706b0cd126',FALSE,0),</t>
  </si>
  <si>
    <t>('97d435a6-b133-4f08-951c-394bc472b834','2025-05-31 08:27:43.267332+00','866dabc4-6501-44d2-a0e5-65da9c45a46e','2025-05-31 08:27:43.267332+00','866dabc4-6501-44d2-a0e5-65da9c45a46e',TRUE,'001','2024-07-09 16:24:00+00',0,FALSE,'Unit1','','2022-04-01 08:27:00+00','2022-04-02 08:27:00+00',FALSE,0,FALSE,78,76,0,0,0,0,78,0,FALSE,'','f04be108-eb7e-470f-9fea-cccc2ffef804',1,0,FALSE,0,1,'4dbc7800-d343-4d6e-ab27-a7706b0cd126',FALSE,0),</t>
  </si>
  <si>
    <t>('8f2323c1-ce47-4acd-992f-80caf64eeae4','2025-05-31 08:27:43.267332+00','866dabc4-6501-44d2-a0e5-65da9c45a46e','2025-05-31 08:27:43.267332+00','866dabc4-6501-44d2-a0e5-65da9c45a46e',TRUE,'001','2024-07-11 16:24:00+00',0,FALSE,'Unit1','','2022-04-01 08:27:00+00','2022-04-02 08:27:00+00',FALSE,0,FALSE,78,76,0,0,0,0,78,0,FALSE,'','f04be108-eb7e-470f-9fea-cccc2ffef804',1,0,FALSE,0,1,'4dbc7800-d343-4d6e-ab27-a7706b0cd126',FALSE,0),</t>
  </si>
  <si>
    <t>('4a17e2bd-9a01-4422-858c-f2b4e9668d67','2025-05-31 08:27:43.267332+00','866dabc4-6501-44d2-a0e5-65da9c45a46e','2025-05-31 08:27:43.267332+00','866dabc4-6501-44d2-a0e5-65da9c45a46e',TRUE,'001','2024-07-20 16:24:00+00',0,FALSE,'Unit1','','2022-04-01 08:27:00+00','2022-04-02 08:27:00+00',FALSE,0,FALSE,78,76,0,0,0,0,78,0,FALSE,'','f04be108-eb7e-470f-9fea-cccc2ffef804',1,0,FALSE,0,1,'4dbc7800-d343-4d6e-ab27-a7706b0cd126',FALSE,0),</t>
  </si>
  <si>
    <t>('82e711ee-278a-4315-bef6-2b782267cc65','2025-05-31 08:27:43.267332+00','866dabc4-6501-44d2-a0e5-65da9c45a46e','2025-05-31 08:27:43.267332+00','866dabc4-6501-44d2-a0e5-65da9c45a46e',TRUE,'001','2024-07-23 16:24:00+00',0,FALSE,'Unit1','','2022-04-01 08:27:00+00','2022-04-02 08:27:00+00',FALSE,0,FALSE,78,76,0,0,0,0,78,0,FALSE,'','f04be108-eb7e-470f-9fea-cccc2ffef804',1,0,FALSE,0,1,'4dbc7800-d343-4d6e-ab27-a7706b0cd126',FALSE,0),</t>
  </si>
  <si>
    <t>('426e6743-36ff-407e-a04a-5dccbf476347','2025-05-31 08:27:43.267332+00','866dabc4-6501-44d2-a0e5-65da9c45a46e','2025-05-31 08:27:43.267332+00','866dabc4-6501-44d2-a0e5-65da9c45a46e',TRUE,'001','2024-08-01 16:24:00+00',0,FALSE,'Unit1','','2022-04-01 08:27:00+00','2022-04-02 08:27:00+00',FALSE,0,FALSE,78,76,0,0,0,0,78,0,FALSE,'','f04be108-eb7e-470f-9fea-cccc2ffef804',1,0,FALSE,0,1,'4dbc7800-d343-4d6e-ab27-a7706b0cd126',FALSE,0),</t>
  </si>
  <si>
    <t>('06ab180d-c825-4fdf-9286-f0a69f3ce764','2025-05-31 08:27:43.267332+00','866dabc4-6501-44d2-a0e5-65da9c45a46e','2025-05-31 08:27:43.267332+00','866dabc4-6501-44d2-a0e5-65da9c45a46e',TRUE,'001','2024-08-03 16:24:00+00',0,FALSE,'Unit1','','2022-04-01 08:27:00+00','2022-04-02 08:27:00+00',FALSE,0,FALSE,78,76,0,0,0,0,78,0,FALSE,'','f04be108-eb7e-470f-9fea-cccc2ffef804',1,0,FALSE,0,1,'4dbc7800-d343-4d6e-ab27-a7706b0cd126',FALSE,0),</t>
  </si>
  <si>
    <t>('ce3f7c59-404f-4afa-9f13-b4da8f6c5dec','2025-05-31 08:27:43.267332+00','866dabc4-6501-44d2-a0e5-65da9c45a46e','2025-05-31 08:27:43.267332+00','866dabc4-6501-44d2-a0e5-65da9c45a46e',TRUE,'001','2024-08-13 16:24:00+02',0,FALSE,'Unit1','','2022-04-01 08:27:00+00','2022-04-02 08:27:00+00',FALSE,0,FALSE,78,76,0,0,0,0,78,0,FALSE,'','f04be108-eb7e-470f-9fea-cccc2ffef804',1,0,FALSE,0,1,'4dbc7800-d343-4d6e-ab27-a7706b0cd126',FALSE,0),</t>
  </si>
  <si>
    <t>('e526aeee-b439-424e-bb7e-9567b919d19a','2025-05-31 08:27:43.267332+00','866dabc4-6501-44d2-a0e5-65da9c45a46e','2025-05-31 08:27:43.267332+00','866dabc4-6501-44d2-a0e5-65da9c45a46e',TRUE,'001','2024-08-15 16:24:00+02',0,FALSE,'Unit1','','2022-04-01 08:27:00+00','2022-04-02 08:27:00+00',FALSE,0,FALSE,78,76,0,0,0,0,78,0,FALSE,'','f04be108-eb7e-470f-9fea-cccc2ffef804',1,0,FALSE,0,1,'4dbc7800-d343-4d6e-ab27-a7706b0cd126',FALSE,0),</t>
  </si>
  <si>
    <t>('04e1d5bb-4d21-464a-83f1-a7c178df0370','2025-05-31 08:27:43.267332+00','866dabc4-6501-44d2-a0e5-65da9c45a46e','2025-05-31 08:27:43.267332+00','866dabc4-6501-44d2-a0e5-65da9c45a46e',TRUE,'001','2024-08-24 16:24:00+03',0,FALSE,'Unit1','','2022-04-01 08:27:00+00','2022-04-02 08:27:00+00',FALSE,0,FALSE,78,76,0,0,0,0,78,0,FALSE,'','f04be108-eb7e-470f-9fea-cccc2ffef804',1,0,FALSE,0,1,'4dbc7800-d343-4d6e-ab27-a7706b0cd126',FALSE,0),</t>
  </si>
  <si>
    <t>('e09cd7a4-f191-4709-955f-d1a08409c6d3','2025-05-31 08:27:43.267332+00','866dabc4-6501-44d2-a0e5-65da9c45a46e','2025-05-31 08:27:43.267332+00','866dabc4-6501-44d2-a0e5-65da9c45a46e',TRUE,'001','2024-08-27 16:24:00+04',0,FALSE,'Unit1','','2022-04-01 08:27:00+00','2022-04-02 08:27:00+00',FALSE,0,FALSE,78,76,0,0,0,0,78,0,FALSE,'','f04be108-eb7e-470f-9fea-cccc2ffef804',1,0,FALSE,0,1,'4dbc7800-d343-4d6e-ab27-a7706b0cd126',FALSE,0),</t>
  </si>
  <si>
    <t>('72ce7e62-71dc-4d5d-a8a5-9eda04222611','2025-05-31 08:27:43.267332+00','866dabc4-6501-44d2-a0e5-65da9c45a46e','2025-05-31 08:27:43.267332+00','866dabc4-6501-44d2-a0e5-65da9c45a46e',TRUE,'001','2024-09-05 16:24:00+00',0,FALSE,'Unit1','','2022-04-01 08:27:00+00','2022-04-02 08:27:00+00',FALSE,0,FALSE,78,76,0,0,0,0,78,0,FALSE,'','f04be108-eb7e-470f-9fea-cccc2ffef804',1,0,FALSE,0,1,'4dbc7800-d343-4d6e-ab27-a7706b0cd126',FALSE,0),</t>
  </si>
  <si>
    <t>('83504381-69f1-4445-b6ff-0c928b0fdd75','2025-05-31 08:27:43.267332+00','866dabc4-6501-44d2-a0e5-65da9c45a46e','2025-05-31 08:27:43.267332+00','866dabc4-6501-44d2-a0e5-65da9c45a46e',TRUE,'001','2024-09-07 16:24:00+00',0,FALSE,'Unit1','','2022-04-01 08:27:00+00','2022-04-02 08:27:00+00',FALSE,0,FALSE,78,76,0,0,0,0,78,0,FALSE,'','f04be108-eb7e-470f-9fea-cccc2ffef804',1,0,FALSE,0,1,'4dbc7800-d343-4d6e-ab27-a7706b0cd126',FALSE,0),</t>
  </si>
  <si>
    <t>('fda14813-bb69-4de0-b6f2-15e4579e2a08','2025-05-31 08:27:43.267332+00','866dabc4-6501-44d2-a0e5-65da9c45a46e','2025-05-31 08:27:43.267332+00','866dabc4-6501-44d2-a0e5-65da9c45a46e',TRUE,'001','2024-09-17 16:24:00+02',0,FALSE,'Unit1','','2022-04-01 08:27:00+00','2022-04-02 08:27:00+00',FALSE,0,FALSE,78,76,0,0,0,0,78,0,FALSE,'','f04be108-eb7e-470f-9fea-cccc2ffef804',1,0,FALSE,0,1,'4dbc7800-d343-4d6e-ab27-a7706b0cd126',FALSE,0),</t>
  </si>
  <si>
    <t>('1636e1d7-9a45-4f4d-801a-c3e99ba364d0','2025-05-31 08:27:43.267332+00','866dabc4-6501-44d2-a0e5-65da9c45a46e','2025-05-31 08:27:43.267332+00','866dabc4-6501-44d2-a0e5-65da9c45a46e',TRUE,'001','2024-09-19 16:24:00+02',0,FALSE,'Unit1','','2022-04-01 08:27:00+00','2022-04-02 08:27:00+00',FALSE,0,FALSE,78,76,0,0,0,0,78,0,FALSE,'','f04be108-eb7e-470f-9fea-cccc2ffef804',1,0,FALSE,0,1,'4dbc7800-d343-4d6e-ab27-a7706b0cd126',FALSE,0),</t>
  </si>
  <si>
    <t>('8fa69903-287f-4bfd-9597-c070c5645b5a','2025-05-31 08:27:43.267332+00','866dabc4-6501-44d2-a0e5-65da9c45a46e','2025-05-31 08:27:43.267332+00','866dabc4-6501-44d2-a0e5-65da9c45a46e',TRUE,'001','2024-09-28 16:24:00+03',0,FALSE,'Unit1','','2022-04-01 08:27:00+00','2022-04-02 08:27:00+00',FALSE,0,FALSE,78,76,0,0,0,0,78,0,FALSE,'','f04be108-eb7e-470f-9fea-cccc2ffef804',1,0,FALSE,0,1,'4dbc7800-d343-4d6e-ab27-a7706b0cd126',FALSE,0),</t>
  </si>
  <si>
    <t>('f11a6764-732e-4d88-9428-f48303aa8009','2025-05-31 08:27:43.267332+00','866dabc4-6501-44d2-a0e5-65da9c45a46e','2025-05-31 08:27:43.267332+00','866dabc4-6501-44d2-a0e5-65da9c45a46e',TRUE,'001','2024-10-01 16:24:00+04',0,FALSE,'Unit1','','2022-04-01 08:27:00+00','2022-04-02 08:27:00+00',FALSE,0,FALSE,78,76,0,0,0,0,78,0,FALSE,'','f04be108-eb7e-470f-9fea-cccc2ffef804',1,0,FALSE,0,1,'4dbc7800-d343-4d6e-ab27-a7706b0cd126',FALSE,0),</t>
  </si>
  <si>
    <t>('853cd491-46bd-4fd6-952f-62973be65207','2024-07-02 16:24:00+00','00000000-0000-0000-0000-000000000000','2024-07-02 16:24:00+00','00000000-0000-0000-0000-000000000000',TRUE,'2024-07-02 16:24:00+00','001',-2,1.1,FALSE),</t>
  </si>
  <si>
    <t>('e5912eaf-81c5-44a9-86af-273801caa87d','2024-07-04 16:24:00+00','00000000-0000-0000-0000-000000000000','2024-07-04 16:24:00+00','00000000-0000-0000-0000-000000000000',TRUE,'2024-07-04 16:24:00+00','001',-2,1.1,FALSE),</t>
  </si>
  <si>
    <t>('3d81581b-ce4f-4225-80d5-baf510a3e1dc','2024-07-06 16:24:00+00','00000000-0000-0000-0000-000000000000','2024-07-06 16:24:00+00','00000000-0000-0000-0000-000000000000',TRUE,'2024-07-06 16:24:00+00','001',-2,1.1,FALSE),</t>
  </si>
  <si>
    <t>('253c944c-f6c5-4fdc-ae85-ecc1ccefe47a','2024-07-09 16:24:00+00','00000000-0000-0000-0000-000000000000','2024-07-09 16:24:00+00','00000000-0000-0000-0000-000000000000',TRUE,'2024-07-09 16:24:00+00','001',-2,1.1,FALSE),</t>
  </si>
  <si>
    <t>('9fae4030-d6d2-41d4-9ff7-9a577775a667','2024-07-11 16:24:00+00','00000000-0000-0000-0000-000000000000','2024-07-11 16:24:00+00','00000000-0000-0000-0000-000000000000',TRUE,'2024-07-11 16:24:00+00','001',-2,1.1,FALSE),</t>
  </si>
  <si>
    <t>('c5dc6c1d-5a22-43df-a9c1-0850f2024eef','2024-07-13 16:24:00+00','00000000-0000-0000-0000-000000000000','2024-07-13 16:24:00+00','00000000-0000-0000-0000-000000000000',TRUE,'2024-07-13 16:24:00+00','001',-2,1.1,FALSE),</t>
  </si>
  <si>
    <t>('750751cb-83ac-40b2-996c-e97290cbc4c2','2024-07-16 16:24:00+00','00000000-0000-0000-0000-000000000000','2024-07-16 16:24:00+00','00000000-0000-0000-0000-000000000000',TRUE,'2024-07-16 16:24:00+00','001',-2,1.1,FALSE),</t>
  </si>
  <si>
    <t>('bdbd6bfc-469c-42b0-9a3d-7cd9fc37b4e3','2024-07-18 16:24:00+00','00000000-0000-0000-0000-000000000000','2024-07-18 16:24:00+00','00000000-0000-0000-0000-000000000000',TRUE,'2024-07-18 16:24:00+00','001',-2,1.1,FALSE),</t>
  </si>
  <si>
    <t>('6b2e3647-3733-4fe9-bfbb-a020ed50d152','2024-07-20 16:24:00+00','00000000-0000-0000-0000-000000000000','2024-07-20 16:24:00+00','00000000-0000-0000-0000-000000000000',TRUE,'2024-07-20 16:24:00+00','001',-2,1.1,FALSE),</t>
  </si>
  <si>
    <t>('08ef38b1-3173-449d-9ffa-86ed01cd59a8','2024-07-23 16:24:00+00','00000000-0000-0000-0000-000000000000','2024-07-23 16:24:00+00','00000000-0000-0000-0000-000000000000',TRUE,'2024-07-23 16:24:00+00','001',-2,1.1,FALSE),</t>
  </si>
  <si>
    <t>('76aa31e9-06b6-4667-b459-b0fa47fbccc6','2024-07-25 16:24:00+00','00000000-0000-0000-0000-000000000000','2024-07-25 16:24:00+00','00000000-0000-0000-0000-000000000000',TRUE,'2024-07-25 16:24:00+00','001',-2,1.1,FALSE),</t>
  </si>
  <si>
    <t>('9e216765-0bed-425d-9949-2969c16ea36c','2024-07-27 16:24:00+00','00000000-0000-0000-0000-000000000000','2024-07-27 16:24:00+00','00000000-0000-0000-0000-000000000000',TRUE,'2024-07-27 16:24:00+00','001',-2,1.1,FALSE),</t>
  </si>
  <si>
    <t>('6270beff-f9cb-4b78-8764-9d0214c83ead','2024-08-30 16:24:00+00','00000000-0000-0000-0000-000000000000','2024-08-30 16:24:00+00','00000000-0000-0000-0000-000000000000',TRUE,'2024-08-30 16:24:00+00','001',-2,1.1,FALSE),</t>
  </si>
  <si>
    <t>('0528f4b2-0f91-4706-88e6-d710bb3c35f0','2024-08-01 16:24:00+00','00000000-0000-0000-0000-000000000000','2024-08-01 16:24:00+00','00000000-0000-0000-0000-000000000000',TRUE,'2024-08-01 16:24:00+00','001',-2,1.1,FALSE),</t>
  </si>
  <si>
    <t>('04ed1a66-1482-48a9-bdc6-d0f1287d034c','2024-08-03 16:24:00+00','00000000-0000-0000-0000-000000000000','2024-08-03 16:24:00+00','00000000-0000-0000-0000-000000000000',TRUE,'2024-08-03 16:24:00+00','001',-2,1.1,FALSE),</t>
  </si>
  <si>
    <t>('b4b11d38-b0b0-4ddd-9a20-6efa35febc82','2024-08-06 16:24:00+01','00000000-0000-0000-0000-000000000000','2024-08-06 16:24:00+01','00000000-0000-0000-0000-000000000000',TRUE,'2024-08-06 16:24:00+01','001',-2,1.1,FALSE),</t>
  </si>
  <si>
    <t>('dd304352-2cad-464c-8e6e-2d44a1081de0','2024-08-08 16:24:00+01','00000000-0000-0000-0000-000000000000','2024-08-08 16:24:00+01','00000000-0000-0000-0000-000000000000',TRUE,'2024-08-08 16:24:00+01','001',-2,1.1,FALSE),</t>
  </si>
  <si>
    <t>('84632692-3efe-4c42-a43c-57c2beda1cf9','2024-08-10 16:24:00+01','00000000-0000-0000-0000-000000000000','2024-08-10 16:24:00+01','00000000-0000-0000-0000-000000000000',TRUE,'2024-08-10 16:24:00+01','001',-2,1.1,FALSE),</t>
  </si>
  <si>
    <t>('a24e3e8c-2d09-418e-ad80-75f83e26bd14','2024-08-13 16:24:00+02','00000000-0000-0000-0000-000000000000','2024-08-13 16:24:00+02','00000000-0000-0000-0000-000000000000',TRUE,'2024-08-13 16:24:00+02','001',-2,1.1,FALSE),</t>
  </si>
  <si>
    <t>('f582ff77-c072-4f18-9de1-931f44800f61','2024-08-15 16:24:00+02','00000000-0000-0000-0000-000000000000','2024-08-15 16:24:00+02','00000000-0000-0000-0000-000000000000',TRUE,'2024-08-15 16:24:00+02','001',-2,1.1,FALSE),</t>
  </si>
  <si>
    <t>('deb290bb-a3b5-4e5c-b6e3-8f50e18ee0bf','2024-08-17 16:24:00+02','00000000-0000-0000-0000-000000000000','2024-08-17 16:24:00+02','00000000-0000-0000-0000-000000000000',TRUE,'2024-08-17 16:24:00+02','001',-2,1.1,FALSE),</t>
  </si>
  <si>
    <t>('e98b8680-c585-4034-b764-b60ac04aa061','2024-08-20 16:24:00+03','00000000-0000-0000-0000-000000000000','2024-08-20 16:24:00+03','00000000-0000-0000-0000-000000000000',TRUE,'2024-08-20 16:24:00+03','001',-2,1.1,FALSE),</t>
  </si>
  <si>
    <t>('13988560-766b-4638-ae95-508b5455f121','2024-08-22 16:24:00+03','00000000-0000-0000-0000-000000000000','2024-08-22 16:24:00+03','00000000-0000-0000-0000-000000000000',TRUE,'2024-08-22 16:24:00+03','001',-2,1.1,FALSE),</t>
  </si>
  <si>
    <t>('e01f1eaf-f0ec-43f5-bfbb-6b9f36769617','2024-08-24 16:24:00+03','00000000-0000-0000-0000-000000000000','2024-08-24 16:24:00+03','00000000-0000-0000-0000-000000000000',TRUE,'2024-08-24 16:24:00+03','001',-2,1.1,FALSE),</t>
  </si>
  <si>
    <t>('d9fdba0a-0352-4501-aaac-061e4c84435a','2024-08-27 16:24:00+04','00000000-0000-0000-0000-000000000000','2024-08-27 16:24:00+04','00000000-0000-0000-0000-000000000000',TRUE,'2024-08-27 16:24:00+04','001',-2,1.1,FALSE),</t>
  </si>
  <si>
    <t>('ef696d55-118d-4822-95c8-a8816a3117e8','2024-08-29 16:24:00+04','00000000-0000-0000-0000-000000000000','2024-08-29 16:24:00+04','00000000-0000-0000-0000-000000000000',TRUE,'2024-08-29 16:24:00+04','001',-2,1.1,FALSE),</t>
  </si>
  <si>
    <t>('efd15579-d91d-44c4-8db9-4d83f9bdbf34','2024-08-31 16:24:00+04','00000000-0000-0000-0000-000000000000','2024-08-31 16:24:00+04','00000000-0000-0000-0000-000000000000',TRUE,'2024-08-31 16:24:00+04','001',-2,1.1,FALSE),</t>
  </si>
  <si>
    <t>('72ce7e62-71dc-4d5d-a8a5-9eda04222611','2024-09-03 16:24:00+00','00000000-0000-0000-0000-000000000000','2024-09-03 16:24:00+00','00000000-0000-0000-0000-000000000000',TRUE,'2024-09-03 16:24:00+00','001',-2,1.1,FALSE),</t>
  </si>
  <si>
    <t>('83504381-69f1-4445-b6ff-0c928b0fdd75','2024-09-05 16:24:00+00','00000000-0000-0000-0000-000000000000','2024-09-05 16:24:00+00','00000000-0000-0000-0000-000000000000',TRUE,'2024-09-05 16:24:00+00','001',-2,1.1,FALSE),</t>
  </si>
  <si>
    <t>('caeb08ff-f3da-4a07-b715-f396d3adcd2e','2024-09-07 16:24:00+00','00000000-0000-0000-0000-000000000000','2024-09-07 16:24:00+00','00000000-0000-0000-0000-000000000000',TRUE,'2024-09-07 16:24:00+00','001',-2,1.1,FALSE),</t>
  </si>
  <si>
    <t>('da742a8a-6e6f-42ef-b33f-6b00e9b5b8d4','2024-09-10 16:24:00+01','00000000-0000-0000-0000-000000000000','2024-09-10 16:24:00+01','00000000-0000-0000-0000-000000000000',TRUE,'2024-09-10 16:24:00+01','001',-2,1.1,FALSE),</t>
  </si>
  <si>
    <t>('43897624-d2d2-454d-b201-f2c1b9c4ead5','2024-09-12 16:24:00+01','00000000-0000-0000-0000-000000000000','2024-09-12 16:24:00+01','00000000-0000-0000-0000-000000000000',TRUE,'2024-09-12 16:24:00+01','001',-2,1.1,FALSE),</t>
  </si>
  <si>
    <t>('fda14813-bb69-4de0-b6f2-15e4579e2a08','2024-09-14 16:24:00+01','00000000-0000-0000-0000-000000000000','2024-09-14 16:24:00+01','00000000-0000-0000-0000-000000000000',TRUE,'2024-09-14 16:24:00+01','001',-2,1.1,FALSE),</t>
  </si>
  <si>
    <t>('1636e1d7-9a45-4f4d-801a-c3e99ba364d0','2024-09-17 16:24:00+02','00000000-0000-0000-0000-000000000000','2024-09-17 16:24:00+02','00000000-0000-0000-0000-000000000000',TRUE,'2024-09-17 16:24:00+02','001',-2,1.1,FALSE),</t>
  </si>
  <si>
    <t>('4192b4d9-614d-406c-836e-46eab8019da8','2024-09-19 16:24:00+02','00000000-0000-0000-0000-000000000000','2024-09-19 16:24:00+02','00000000-0000-0000-0000-000000000000',TRUE,'2024-09-19 16:24:00+02','001',-2,1.1,FALSE),</t>
  </si>
  <si>
    <t>('e3a175ad-9747-4065-8093-78c92c1b9afd','2024-09-21 16:24:00+02','00000000-0000-0000-0000-000000000000','2024-09-21 16:24:00+02','00000000-0000-0000-0000-000000000000',TRUE,'2024-09-21 16:24:00+02','001',-2,1.1,FALSE),</t>
  </si>
  <si>
    <t>('d5181536-579d-451a-a390-9d4e9ea4fa42','2024-09-24 16:24:00+03','00000000-0000-0000-0000-000000000000','2024-09-24 16:24:00+03','00000000-0000-0000-0000-000000000000',TRUE,'2024-09-24 16:24:00+03','001',-2,1.1,FALSE),</t>
  </si>
  <si>
    <t>('8fa69903-287f-4bfd-9597-c070c5645b5a','2024-09-26 16:24:00+03','00000000-0000-0000-0000-000000000000','2024-09-26 16:24:00+03','00000000-0000-0000-0000-000000000000',TRUE,'2024-09-26 16:24:00+03','001',-2,1.1,FALSE),</t>
  </si>
  <si>
    <t>('f11a6764-732e-4d88-9428-f48303aa8009','2024-09-28 16:24:00+03','00000000-0000-0000-0000-000000000000','2024-09-28 16:24:00+03','00000000-0000-0000-0000-000000000000',TRUE,'2024-09-28 16:24:00+03','001',-2,1.1,FALSE),</t>
  </si>
  <si>
    <t>('f709eb01-c3a7-4140-a965-ebe1e140d055','2024-10-01 16:24:00+04','00000000-0000-0000-0000-000000000000','2024-10-01 16:24:00+04','00000000-0000-0000-0000-000000000000',TRUE,'2024-10-01 16:24:00+04','001',-2,1.1,FALSE),</t>
  </si>
  <si>
    <t>('f633623c-66d6-4d97-994f-b7674535cd2a','2024-10-03 16:24:00+04','00000000-0000-0000-0000-000000000000','2024-10-03 16:24:00+04','00000000-0000-0000-0000-000000000000',TRUE,'2024-10-03 16:24:00+04','001',-2,1.1,FALSE),</t>
  </si>
  <si>
    <t>('561b3574-8922-41ce-b7f1-eb2791e94dcd','2024-10-05 16:24:00+04','00000000-0000-0000-0000-000000000000','2024-10-05 16:24:00+04','00000000-0000-0000-0000-000000000000',TRUE,'2024-10-05 16:24:00+04','001',-2,1.1,FALSE),</t>
  </si>
  <si>
    <t>aec14bb9-ee40-49f6-9f85-e0f707dd3945</t>
  </si>
  <si>
    <t>b980eba0-e062-4b23-859d-4f0df86b94ac</t>
  </si>
  <si>
    <t>861cc56c-9aad-4fcb-9a3e-166c1af4d67b</t>
  </si>
  <si>
    <t>ef00f619-296d-4e5f-9e85-237554af9771</t>
  </si>
  <si>
    <t>e5e717a9-83e4-4d52-a171-a3289f70c737</t>
  </si>
  <si>
    <t>3c36fe72-0a4b-41c2-9366-2dcd8c4801a7</t>
  </si>
  <si>
    <t>4355156d-16e4-44fb-9ac5-e95f0ec74640</t>
  </si>
  <si>
    <t>2c3b6ffa-7679-40b3-bc00-448d85bc7fe7</t>
  </si>
  <si>
    <t>a3322c73-aaeb-468e-94b6-d64a2644098d</t>
  </si>
  <si>
    <t>5cbf9b4b-c16b-4eb4-b294-5730bc125464</t>
  </si>
  <si>
    <t>ca701d88-3acb-4898-ac69-320a3434025d</t>
  </si>
  <si>
    <t>51b4ab3d-32ba-4c1c-a937-03c9eb146f3f</t>
  </si>
  <si>
    <t>a241ce74-7075-406f-998d-6cf3c1b8956a</t>
  </si>
  <si>
    <t>4bfab929-7ab1-4d4f-86da-4b62c0569b1a</t>
  </si>
  <si>
    <t>530e8dad-628e-4c06-8bf6-d7e2f5de760e</t>
  </si>
  <si>
    <t>d3961ee7-7865-4d2e-b156-21aa56e0c237</t>
  </si>
  <si>
    <t>c3db5d7e-35c3-4741-96f0-24ddf13bef42</t>
  </si>
  <si>
    <t>8f9a3c50-e3cb-4da6-9efb-9dd6ef0503a2</t>
  </si>
  <si>
    <t>2e393ae1-da80-4a5b-811d-f8b8b4191562</t>
  </si>
  <si>
    <t>3e5b82d2-b5f8-47a6-a838-8ea3a4c40ccb</t>
  </si>
  <si>
    <t>529c51f2-e2ce-43f6-ab3a-cc57ca5a7292</t>
  </si>
  <si>
    <t>36cc670f-b9eb-4363-967d-e17c7dbde052</t>
  </si>
  <si>
    <t>257c465a-aad9-44c5-8756-868ea21d42b1</t>
  </si>
  <si>
    <t>940622a4-8f7c-4735-a52a-4b110455f2c8</t>
  </si>
  <si>
    <t>7ab8ea1d-c0d8-435e-9cd9-a19a1004bfa5</t>
  </si>
  <si>
    <t>2297dd21-8dc5-43f1-a1cb-9ade8664f598</t>
  </si>
  <si>
    <t>112a33d6-c4d3-49f3-96cf-37913c6ee7f5</t>
  </si>
  <si>
    <t>e2315d7d-19e2-4e2e-90f1-038dccc4cd9d</t>
  </si>
  <si>
    <t>556851a9-876e-4801-850a-8801e82fe688</t>
  </si>
  <si>
    <t>66ac42a9-68ba-4f29-a754-5d5ac454bb97</t>
  </si>
  <si>
    <t>ce49f22e-ef54-4783-9158-03f65025131e</t>
  </si>
  <si>
    <t>620e5bd4-40fc-4564-896b-83ca072d50d8</t>
  </si>
  <si>
    <t>ec048ee3-c046-4bc0-ad5d-5f36ec8f91cd</t>
  </si>
  <si>
    <t>4f55c25e-2c12-448b-b1e1-2f409edaaadf</t>
  </si>
  <si>
    <t>d79ab817-bd01-475d-87c2-746b0dc71292</t>
  </si>
  <si>
    <t>d6d634d8-c695-4bc8-9201-7d23b7facebd</t>
  </si>
  <si>
    <t>0e57d72a-cbfb-4edd-b763-051941206e67</t>
  </si>
  <si>
    <t>45c539a3-808a-4622-9bb4-65bf9ed485c1</t>
  </si>
  <si>
    <t>d89f1350-2777-48b0-8aa0-a568033c2d84</t>
  </si>
  <si>
    <t>a0e474ab-9bad-4676-93ea-2ba40831a321</t>
  </si>
  <si>
    <t>fafde93a-207f-4c7f-a39a-44bd10fe2b9f</t>
  </si>
  <si>
    <t>e1665467-ef4f-4efb-94e3-475b8118cd02</t>
  </si>
  <si>
    <t>0a29f610-889a-4a5a-96b8-ddd1332d723c</t>
  </si>
  <si>
    <t>0a126419-9038-473a-940a-b2cccbbe67cb</t>
  </si>
  <si>
    <t>fe56c45d-a4ac-4d76-bc26-ae070fd06e22</t>
  </si>
  <si>
    <t>1474ef6e-b557-4ff3-bb1e-218ed7e16474</t>
  </si>
  <si>
    <t>1fffc997-6778-42de-a86f-d27290f424b7</t>
  </si>
  <si>
    <t>5816d2d3-ee29-48b6-8dd3-cc8d783f9f75</t>
  </si>
  <si>
    <t>db2d7c41-9c13-4881-8481-c7273d625bc7</t>
  </si>
  <si>
    <t>770c1bf7-d114-49fe-a3d3-7ea30f4a280c</t>
  </si>
  <si>
    <t>fdedf1b5-0542-4ef5-8bac-735a9ebe7609</t>
  </si>
  <si>
    <t>c55b9ecb-2b33-488f-a0b1-2cc355b4445a</t>
  </si>
  <si>
    <t>47e37966-a06a-45b9-bb49-832d760fbbc0</t>
  </si>
  <si>
    <t>4dbde329-db66-4c13-81e8-ce4378e0a71b</t>
  </si>
  <si>
    <t>0db52e95-6579-4b29-ae5d-46ab0aa92181</t>
  </si>
  <si>
    <t>8bcb1869-8a51-4c38-a3c1-fcea5e163956</t>
  </si>
  <si>
    <t>4466b1ed-b531-44cf-a6d9-5881e833da1f</t>
  </si>
  <si>
    <t>ee7713d1-e9f0-42e6-b038-7b6597118963</t>
  </si>
  <si>
    <t>759e742d-4e5c-40ae-8a79-8a3c5f1738b1</t>
  </si>
  <si>
    <t>b93e8089-608e-4e11-a78d-030149e75a7a</t>
  </si>
  <si>
    <t>d14366fb-75b6-40f6-87ac-63c4bd735f45</t>
  </si>
  <si>
    <t>018a1d1e-ef5a-40e6-88e7-6540c1f86a70</t>
  </si>
  <si>
    <t>3a1e9f3d-6eff-41b8-b48e-afed057c8390</t>
  </si>
  <si>
    <t>2dd0b397-cc78-415c-8582-0619dfeba008</t>
  </si>
  <si>
    <t>9449cb47-a8b9-40c4-a438-3dbcd1b17b49</t>
  </si>
  <si>
    <t>0d417f6c-65f9-4df0-baa0-a9fd7b8d7aed</t>
  </si>
  <si>
    <t>4b59ee2d-1080-4631-a7d6-d961434448da</t>
  </si>
  <si>
    <t>2a7b8453-cec4-4c41-bb47-d12678e6b6e4</t>
  </si>
  <si>
    <t>03625504-b150-46f3-b9e6-d572f5b8b776</t>
  </si>
  <si>
    <t>003</t>
  </si>
  <si>
    <t>('aec14bb9-ee40-49f6-9f85-e0f707dd3945','2025-05-31 08:27:43.267332+00','866dabc4-6501-44d2-a0e5-65da9c45a46e','2025-05-31 08:27:43.267332+00','866dabc4-6501-44d2-a0e5-65da9c45a46e',TRUE,'003','2024-01-01',0,FALSE,'Unit1','','2022-04-01 08:27:00+00','2022-04-02 08:27:00+00',FALSE,0,FALSE,65,64,0,0,0,0,65,0,FALSE,'','03625504-b150-46f3-b9e6-d572f5b8b776',1,0,FALSE,0,1,'4dbc7800-d343-4d6e-ab27-a7706b0cd126',FALSE,0),</t>
  </si>
  <si>
    <t>('b980eba0-e062-4b23-859d-4f0df86b94ac','2025-05-31 08:27:43.267332+00','866dabc4-6501-44d2-a0e5-65da9c45a46e','2025-05-31 08:27:43.267332+00','866dabc4-6501-44d2-a0e5-65da9c45a46e',TRUE,'003','2024-01-04',0,FALSE,'Unit1','','2022-04-01 08:27:00+00','2022-04-02 08:27:00+00',FALSE,0,FALSE,65,64,0,0,0,0,65,0,FALSE,'','03625504-b150-46f3-b9e6-d572f5b8b776',1,0,FALSE,0,1,'4dbc7800-d343-4d6e-ab27-a7706b0cd126',FALSE,0),</t>
  </si>
  <si>
    <t>('861cc56c-9aad-4fcb-9a3e-166c1af4d67b','2025-05-31 08:27:43.267332+00','866dabc4-6501-44d2-a0e5-65da9c45a46e','2025-05-31 08:27:43.267332+00','866dabc4-6501-44d2-a0e5-65da9c45a46e',TRUE,'003','2024-01-08',0,FALSE,'Unit1','','2022-04-01 08:27:00+00','2022-04-02 08:27:00+00',FALSE,0,FALSE,65,64,0,0,0,0,65,0,FALSE,'','03625504-b150-46f3-b9e6-d572f5b8b776',1,0,FALSE,0,1,'4dbc7800-d343-4d6e-ab27-a7706b0cd126',FALSE,0),</t>
  </si>
  <si>
    <t>('ef00f619-296d-4e5f-9e85-237554af9771','2025-05-31 08:27:43.267332+00','866dabc4-6501-44d2-a0e5-65da9c45a46e','2025-05-31 08:27:43.267332+00','866dabc4-6501-44d2-a0e5-65da9c45a46e',TRUE,'003','2024-01-11',0,FALSE,'Unit1','','2022-04-01 08:27:00+00','2022-04-02 08:27:00+00',FALSE,0,FALSE,65,64,0,0,0,0,65,0,FALSE,'','03625504-b150-46f3-b9e6-d572f5b8b776',1,0,FALSE,0,1,'4dbc7800-d343-4d6e-ab27-a7706b0cd126',FALSE,0),</t>
  </si>
  <si>
    <t>('e5e717a9-83e4-4d52-a171-a3289f70c737','2025-05-31 08:27:43.267332+00','866dabc4-6501-44d2-a0e5-65da9c45a46e','2025-05-31 08:27:43.267332+00','866dabc4-6501-44d2-a0e5-65da9c45a46e',TRUE,'003','2024-01-15',0,FALSE,'Unit1','','2022-04-01 08:27:00+00','2022-04-02 08:27:00+00',FALSE,0,FALSE,65,64,0,0,0,0,65,0,FALSE,'','03625504-b150-46f3-b9e6-d572f5b8b776',1,0,FALSE,0,1,'4dbc7800-d343-4d6e-ab27-a7706b0cd126',FALSE,0),</t>
  </si>
  <si>
    <t>('3c36fe72-0a4b-41c2-9366-2dcd8c4801a7','2025-05-31 08:27:43.267332+00','866dabc4-6501-44d2-a0e5-65da9c45a46e','2025-05-31 08:27:43.267332+00','866dabc4-6501-44d2-a0e5-65da9c45a46e',TRUE,'003','2024-01-18',0,FALSE,'Unit1','','2022-04-01 08:27:00+00','2022-04-02 08:27:00+00',FALSE,0,FALSE,65,64,0,0,0,0,65,0,FALSE,'','03625504-b150-46f3-b9e6-d572f5b8b776',1,0,FALSE,0,1,'4dbc7800-d343-4d6e-ab27-a7706b0cd126',FALSE,0),</t>
  </si>
  <si>
    <t>('4355156d-16e4-44fb-9ac5-e95f0ec74640','2025-05-31 08:27:43.267332+00','866dabc4-6501-44d2-a0e5-65da9c45a46e','2025-05-31 08:27:43.267332+00','866dabc4-6501-44d2-a0e5-65da9c45a46e',TRUE,'003','2024-01-22',0,FALSE,'Unit1','','2022-04-01 08:27:00+00','2022-04-02 08:27:00+00',FALSE,0,FALSE,65,64,0,0,0,0,65,0,FALSE,'','03625504-b150-46f3-b9e6-d572f5b8b776',1,0,FALSE,0,1,'4dbc7800-d343-4d6e-ab27-a7706b0cd126',FALSE,0),</t>
  </si>
  <si>
    <t>('2c3b6ffa-7679-40b3-bc00-448d85bc7fe7','2025-05-31 08:27:43.267332+00','866dabc4-6501-44d2-a0e5-65da9c45a46e','2025-05-31 08:27:43.267332+00','866dabc4-6501-44d2-a0e5-65da9c45a46e',TRUE,'003','2024-01-25',0,FALSE,'Unit1','','2022-04-01 08:27:00+00','2022-04-02 08:27:00+00',FALSE,0,FALSE,65,64,0,0,0,0,65,0,FALSE,'','03625504-b150-46f3-b9e6-d572f5b8b776',1,0,FALSE,0,1,'4dbc7800-d343-4d6e-ab27-a7706b0cd126',FALSE,0),</t>
  </si>
  <si>
    <t>('a3322c73-aaeb-468e-94b6-d64a2644098d','2025-05-31 08:27:43.267332+00','866dabc4-6501-44d2-a0e5-65da9c45a46e','2025-05-31 08:27:43.267332+00','866dabc4-6501-44d2-a0e5-65da9c45a46e',TRUE,'003','2024-01-29',0,FALSE,'Unit1','','2022-04-01 08:27:00+00','2022-04-02 08:27:00+00',FALSE,0,FALSE,65,64,0,0,0,0,65,0,FALSE,'','03625504-b150-46f3-b9e6-d572f5b8b776',1,0,FALSE,0,1,'4dbc7800-d343-4d6e-ab27-a7706b0cd126',FALSE,0),</t>
  </si>
  <si>
    <t>('5cbf9b4b-c16b-4eb4-b294-5730bc125464','2025-05-31 08:27:43.267332+00','866dabc4-6501-44d2-a0e5-65da9c45a46e','2025-05-31 08:27:43.267332+00','866dabc4-6501-44d2-a0e5-65da9c45a46e',TRUE,'003','2024-02-01',0,FALSE,'Unit1','','2022-04-01 08:27:00+00','2022-04-02 08:27:00+00',FALSE,0,FALSE,65,64,0,0,0,0,65,0,FALSE,'','03625504-b150-46f3-b9e6-d572f5b8b776',1,0,FALSE,0,1,'4dbc7800-d343-4d6e-ab27-a7706b0cd126',FALSE,0),</t>
  </si>
  <si>
    <t>('ca701d88-3acb-4898-ac69-320a3434025d','2025-05-31 08:27:43.267332+00','866dabc4-6501-44d2-a0e5-65da9c45a46e','2025-05-31 08:27:43.267332+00','866dabc4-6501-44d2-a0e5-65da9c45a46e',TRUE,'003','2024-02-02',0,FALSE,'Unit1','','2022-04-01 08:27:00+00','2022-04-02 08:27:00+00',FALSE,0,FALSE,65,64,0,0,0,0,65,0,FALSE,'','03625504-b150-46f3-b9e6-d572f5b8b776',1,0,FALSE,0,1,'4dbc7800-d343-4d6e-ab27-a7706b0cd126',FALSE,0),</t>
  </si>
  <si>
    <t>('51b4ab3d-32ba-4c1c-a937-03c9eb146f3f','2025-05-31 08:27:43.267332+00','866dabc4-6501-44d2-a0e5-65da9c45a46e','2025-05-31 08:27:43.267332+00','866dabc4-6501-44d2-a0e5-65da9c45a46e',TRUE,'003','2024-02-08',0,FALSE,'Unit1','','2022-04-01 08:27:00+00','2022-04-02 08:27:00+00',FALSE,0,FALSE,65,64,0,0,0,0,65,0,FALSE,'','03625504-b150-46f3-b9e6-d572f5b8b776',1,0,FALSE,0,1,'4dbc7800-d343-4d6e-ab27-a7706b0cd126',FALSE,0),</t>
  </si>
  <si>
    <t>('a241ce74-7075-406f-998d-6cf3c1b8956a','2025-05-31 08:27:43.267332+00','866dabc4-6501-44d2-a0e5-65da9c45a46e','2025-05-31 08:27:43.267332+00','866dabc4-6501-44d2-a0e5-65da9c45a46e',TRUE,'003','2024-02-12',0,FALSE,'Unit1','','2022-04-01 08:27:00+00','2022-04-02 08:27:00+00',FALSE,0,FALSE,65,64,0,0,0,0,65,0,FALSE,'','03625504-b150-46f3-b9e6-d572f5b8b776',1,0,FALSE,0,1,'4dbc7800-d343-4d6e-ab27-a7706b0cd126',FALSE,0),</t>
  </si>
  <si>
    <t>('4bfab929-7ab1-4d4f-86da-4b62c0569b1a','2025-05-31 08:27:43.267332+00','866dabc4-6501-44d2-a0e5-65da9c45a46e','2025-05-31 08:27:43.267332+00','866dabc4-6501-44d2-a0e5-65da9c45a46e',TRUE,'003','2024-02-15',0,FALSE,'Unit1','','2022-04-01 08:27:00+00','2022-04-02 08:27:00+00',FALSE,0,FALSE,65,64,0,0,0,0,65,0,FALSE,'','03625504-b150-46f3-b9e6-d572f5b8b776',1,0,FALSE,0,1,'4dbc7800-d343-4d6e-ab27-a7706b0cd126',FALSE,0),</t>
  </si>
  <si>
    <t>('530e8dad-628e-4c06-8bf6-d7e2f5de760e','2025-05-31 08:27:43.267332+00','866dabc4-6501-44d2-a0e5-65da9c45a46e','2025-05-31 08:27:43.267332+00','866dabc4-6501-44d2-a0e5-65da9c45a46e',TRUE,'003','2024-02-19',0,FALSE,'Unit1','','2022-04-01 08:27:00+00','2022-04-02 08:27:00+00',FALSE,0,FALSE,65,64,0,0,0,0,65,0,FALSE,'','03625504-b150-46f3-b9e6-d572f5b8b776',1,0,FALSE,0,1,'4dbc7800-d343-4d6e-ab27-a7706b0cd126',FALSE,0),</t>
  </si>
  <si>
    <t>('d3961ee7-7865-4d2e-b156-21aa56e0c237','2025-05-31 08:27:43.267332+00','866dabc4-6501-44d2-a0e5-65da9c45a46e','2025-05-31 08:27:43.267332+00','866dabc4-6501-44d2-a0e5-65da9c45a46e',TRUE,'003','2024-02-22',0,FALSE,'Unit1','','2022-04-01 08:27:00+00','2022-04-02 08:27:00+00',FALSE,0,FALSE,65,64,0,0,0,0,65,0,FALSE,'','03625504-b150-46f3-b9e6-d572f5b8b776',1,0,FALSE,0,1,'4dbc7800-d343-4d6e-ab27-a7706b0cd126',FALSE,0),</t>
  </si>
  <si>
    <t>('c3db5d7e-35c3-4741-96f0-24ddf13bef42','2025-05-31 08:27:43.267332+00','866dabc4-6501-44d2-a0e5-65da9c45a46e','2025-05-31 08:27:43.267332+00','866dabc4-6501-44d2-a0e5-65da9c45a46e',TRUE,'003','2024-02-26',0,FALSE,'Unit1','','2022-04-01 08:27:00+00','2022-04-02 08:27:00+00',FALSE,0,FALSE,65,64,0,0,0,0,65,0,FALSE,'','03625504-b150-46f3-b9e6-d572f5b8b776',1,0,FALSE,0,1,'4dbc7800-d343-4d6e-ab27-a7706b0cd126',FALSE,0),</t>
  </si>
  <si>
    <t>('8f9a3c50-e3cb-4da6-9efb-9dd6ef0503a2','2025-05-31 08:27:43.267332+00','866dabc4-6501-44d2-a0e5-65da9c45a46e','2025-05-31 08:27:43.267332+00','866dabc4-6501-44d2-a0e5-65da9c45a46e',TRUE,'003','2024-02-29',0,FALSE,'Unit1','','2022-04-01 08:27:00+00','2022-04-02 08:27:00+00',FALSE,0,FALSE,65,64,0,0,0,0,65,0,FALSE,'','03625504-b150-46f3-b9e6-d572f5b8b776',1,0,FALSE,0,1,'4dbc7800-d343-4d6e-ab27-a7706b0cd126',FALSE,0),</t>
  </si>
  <si>
    <t>('2e393ae1-da80-4a5b-811d-f8b8b4191562','2025-05-31 08:27:43.267332+00','866dabc4-6501-44d2-a0e5-65da9c45a46e','2025-05-31 08:27:43.267332+00','866dabc4-6501-44d2-a0e5-65da9c45a46e',TRUE,'003','2024-03-04',0,FALSE,'Unit1','','2022-04-01 08:27:00+00','2022-04-02 08:27:00+00',FALSE,0,FALSE,65,64,0,0,0,0,65,0,FALSE,'','03625504-b150-46f3-b9e6-d572f5b8b776',1,0,FALSE,0,1,'4dbc7800-d343-4d6e-ab27-a7706b0cd126',FALSE,0),</t>
  </si>
  <si>
    <t>('3e5b82d2-b5f8-47a6-a838-8ea3a4c40ccb','2025-05-31 08:27:43.267332+00','866dabc4-6501-44d2-a0e5-65da9c45a46e','2025-05-31 08:27:43.267332+00','866dabc4-6501-44d2-a0e5-65da9c45a46e',TRUE,'003','2024-03-07',0,FALSE,'Unit1','','2022-04-01 08:27:00+00','2022-04-02 08:27:00+00',FALSE,0,FALSE,65,64,0,0,0,0,65,0,FALSE,'','03625504-b150-46f3-b9e6-d572f5b8b776',1,0,FALSE,0,1,'4dbc7800-d343-4d6e-ab27-a7706b0cd126',FALSE,0),</t>
  </si>
  <si>
    <t>('529c51f2-e2ce-43f6-ab3a-cc57ca5a7292','2025-05-31 08:27:43.267332+00','866dabc4-6501-44d2-a0e5-65da9c45a46e','2025-05-31 08:27:43.267332+00','866dabc4-6501-44d2-a0e5-65da9c45a46e',TRUE,'003','2024-03-11',0,FALSE,'Unit1','','2022-04-01 08:27:00+00','2022-04-02 08:27:00+00',FALSE,0,FALSE,65,64,0,0,0,0,65,0,FALSE,'','03625504-b150-46f3-b9e6-d572f5b8b776',1,0,FALSE,0,1,'4dbc7800-d343-4d6e-ab27-a7706b0cd126',FALSE,0),</t>
  </si>
  <si>
    <t>('36cc670f-b9eb-4363-967d-e17c7dbde052','2025-05-31 08:27:43.267332+00','866dabc4-6501-44d2-a0e5-65da9c45a46e','2025-05-31 08:27:43.267332+00','866dabc4-6501-44d2-a0e5-65da9c45a46e',TRUE,'003','2024-03-14',0,FALSE,'Unit1','','2022-04-01 08:27:00+00','2022-04-02 08:27:00+00',FALSE,0,FALSE,65,64,0,0,0,0,65,0,FALSE,'','03625504-b150-46f3-b9e6-d572f5b8b776',1,0,FALSE,0,1,'4dbc7800-d343-4d6e-ab27-a7706b0cd126',FALSE,0),</t>
  </si>
  <si>
    <t>('257c465a-aad9-44c5-8756-868ea21d42b1','2025-05-31 08:27:43.267332+00','866dabc4-6501-44d2-a0e5-65da9c45a46e','2025-05-31 08:27:43.267332+00','866dabc4-6501-44d2-a0e5-65da9c45a46e',TRUE,'003','2024-03-18',0,FALSE,'Unit1','','2022-04-01 08:27:00+00','2022-04-02 08:27:00+00',FALSE,0,FALSE,65,64,0,0,0,0,65,0,FALSE,'','03625504-b150-46f3-b9e6-d572f5b8b776',1,0,FALSE,0,1,'4dbc7800-d343-4d6e-ab27-a7706b0cd126',FALSE,0),</t>
  </si>
  <si>
    <t>('940622a4-8f7c-4735-a52a-4b110455f2c8','2025-05-31 08:27:43.267332+00','866dabc4-6501-44d2-a0e5-65da9c45a46e','2025-05-31 08:27:43.267332+00','866dabc4-6501-44d2-a0e5-65da9c45a46e',TRUE,'003','2024-03-21',0,FALSE,'Unit1','','2022-04-01 08:27:00+00','2022-04-02 08:27:00+00',FALSE,0,FALSE,65,64,0,0,0,0,65,0,FALSE,'','03625504-b150-46f3-b9e6-d572f5b8b776',1,0,FALSE,0,1,'4dbc7800-d343-4d6e-ab27-a7706b0cd126',FALSE,0),</t>
  </si>
  <si>
    <t>('7ab8ea1d-c0d8-435e-9cd9-a19a1004bfa5','2025-05-31 08:27:43.267332+00','866dabc4-6501-44d2-a0e5-65da9c45a46e','2025-05-31 08:27:43.267332+00','866dabc4-6501-44d2-a0e5-65da9c45a46e',TRUE,'003','2024-03-25',0,FALSE,'Unit1','','2022-04-01 08:27:00+00','2022-04-02 08:27:00+00',FALSE,0,FALSE,65,64,0,0,0,0,65,0,FALSE,'','03625504-b150-46f3-b9e6-d572f5b8b776',1,0,FALSE,0,1,'4dbc7800-d343-4d6e-ab27-a7706b0cd126',FALSE,0),</t>
  </si>
  <si>
    <t>('2297dd21-8dc5-43f1-a1cb-9ade8664f598','2025-05-31 08:27:43.267332+00','866dabc4-6501-44d2-a0e5-65da9c45a46e','2025-05-31 08:27:43.267332+00','866dabc4-6501-44d2-a0e5-65da9c45a46e',TRUE,'003','2024-03-28',0,FALSE,'Unit1','','2022-04-01 08:27:00+00','2022-04-02 08:27:00+00',FALSE,0,FALSE,65,64,0,0,0,0,65,0,FALSE,'','03625504-b150-46f3-b9e6-d572f5b8b776',1,0,FALSE,0,1,'4dbc7800-d343-4d6e-ab27-a7706b0cd126',FALSE,0),</t>
  </si>
  <si>
    <t>('112a33d6-c4d3-49f3-96cf-37913c6ee7f5','2025-05-31 08:27:43.267332+00','866dabc4-6501-44d2-a0e5-65da9c45a46e','2025-05-31 08:27:43.267332+00','866dabc4-6501-44d2-a0e5-65da9c45a46e',TRUE,'003','2024-07-02 16:24:00+00',0,FALSE,'Unit1','','2022-04-01 08:27:00+00','2022-04-02 08:27:00+00',FALSE,0,FALSE,65,64,0,0,0,0,65,0,FALSE,'','03625504-b150-46f3-b9e6-d572f5b8b776',1,0,FALSE,0,1,'4dbc7800-d343-4d6e-ab27-a7706b0cd126',FALSE,0),</t>
  </si>
  <si>
    <t>('e2315d7d-19e2-4e2e-90f1-038dccc4cd9d','2025-05-31 08:27:43.267332+00','866dabc4-6501-44d2-a0e5-65da9c45a46e','2025-05-31 08:27:43.267332+00','866dabc4-6501-44d2-a0e5-65da9c45a46e',TRUE,'003','2024-07-04 16:24:00+00',0,FALSE,'Unit1','','2022-04-01 08:27:00+00','2022-04-02 08:27:00+00',FALSE,0,FALSE,65,64,0,0,0,0,65,0,FALSE,'','03625504-b150-46f3-b9e6-d572f5b8b776',1,0,FALSE,0,1,'4dbc7800-d343-4d6e-ab27-a7706b0cd126',FALSE,0),</t>
  </si>
  <si>
    <t>('556851a9-876e-4801-850a-8801e82fe688','2025-05-31 08:27:43.267332+00','866dabc4-6501-44d2-a0e5-65da9c45a46e','2025-05-31 08:27:43.267332+00','866dabc4-6501-44d2-a0e5-65da9c45a46e',TRUE,'003','2024-07-06 16:24:00+00',0,FALSE,'Unit1','','2022-04-01 08:27:00+00','2022-04-02 08:27:00+00',FALSE,0,FALSE,65,64,0,0,0,0,65,0,FALSE,'','03625504-b150-46f3-b9e6-d572f5b8b776',1,0,FALSE,0,1,'4dbc7800-d343-4d6e-ab27-a7706b0cd126',FALSE,0),</t>
  </si>
  <si>
    <t>('66ac42a9-68ba-4f29-a754-5d5ac454bb97','2025-05-31 08:27:43.267332+00','866dabc4-6501-44d2-a0e5-65da9c45a46e','2025-05-31 08:27:43.267332+00','866dabc4-6501-44d2-a0e5-65da9c45a46e',TRUE,'003','2024-07-09 16:24:00+00',0,FALSE,'Unit1','','2022-04-01 08:27:00+00','2022-04-02 08:27:00+00',FALSE,0,FALSE,65,64,0,0,0,0,65,0,FALSE,'','03625504-b150-46f3-b9e6-d572f5b8b776',1,0,FALSE,0,1,'4dbc7800-d343-4d6e-ab27-a7706b0cd126',FALSE,0),</t>
  </si>
  <si>
    <t>('ce49f22e-ef54-4783-9158-03f65025131e','2025-05-31 08:27:43.267332+00','866dabc4-6501-44d2-a0e5-65da9c45a46e','2025-05-31 08:27:43.267332+00','866dabc4-6501-44d2-a0e5-65da9c45a46e',TRUE,'003','2024-07-11 16:24:00+00',0,FALSE,'Unit1','','2022-04-01 08:27:00+00','2022-04-02 08:27:00+00',FALSE,0,FALSE,65,64,0,0,0,0,65,0,FALSE,'','03625504-b150-46f3-b9e6-d572f5b8b776',1,0,FALSE,0,1,'4dbc7800-d343-4d6e-ab27-a7706b0cd126',FALSE,0),</t>
  </si>
  <si>
    <t>('620e5bd4-40fc-4564-896b-83ca072d50d8','2025-05-31 08:27:43.267332+00','866dabc4-6501-44d2-a0e5-65da9c45a46e','2025-05-31 08:27:43.267332+00','866dabc4-6501-44d2-a0e5-65da9c45a46e',TRUE,'003','2024-07-13 16:24:00+00',0,FALSE,'Unit1','','2022-04-01 08:27:00+00','2022-04-02 08:27:00+00',FALSE,0,FALSE,65,64,0,0,0,0,65,0,FALSE,'','03625504-b150-46f3-b9e6-d572f5b8b776',1,0,FALSE,0,1,'4dbc7800-d343-4d6e-ab27-a7706b0cd126',FALSE,0),</t>
  </si>
  <si>
    <t>('ec048ee3-c046-4bc0-ad5d-5f36ec8f91cd','2025-05-31 08:27:43.267332+00','866dabc4-6501-44d2-a0e5-65da9c45a46e','2025-05-31 08:27:43.267332+00','866dabc4-6501-44d2-a0e5-65da9c45a46e',TRUE,'003','2024-07-16 16:24:00+00',0,FALSE,'Unit1','','2022-04-01 08:27:00+00','2022-04-02 08:27:00+00',FALSE,0,FALSE,65,64,0,0,0,0,65,0,FALSE,'','03625504-b150-46f3-b9e6-d572f5b8b776',1,0,FALSE,0,1,'4dbc7800-d343-4d6e-ab27-a7706b0cd126',FALSE,0),</t>
  </si>
  <si>
    <t>('4f55c25e-2c12-448b-b1e1-2f409edaaadf','2025-05-31 08:27:43.267332+00','866dabc4-6501-44d2-a0e5-65da9c45a46e','2025-05-31 08:27:43.267332+00','866dabc4-6501-44d2-a0e5-65da9c45a46e',TRUE,'003','2024-07-18 16:24:00+00',0,FALSE,'Unit1','','2022-04-01 08:27:00+00','2022-04-02 08:27:00+00',FALSE,0,FALSE,65,64,0,0,0,0,65,0,FALSE,'','03625504-b150-46f3-b9e6-d572f5b8b776',1,0,FALSE,0,1,'4dbc7800-d343-4d6e-ab27-a7706b0cd126',FALSE,0),</t>
  </si>
  <si>
    <t>('d79ab817-bd01-475d-87c2-746b0dc71292','2025-05-31 08:27:43.267332+00','866dabc4-6501-44d2-a0e5-65da9c45a46e','2025-05-31 08:27:43.267332+00','866dabc4-6501-44d2-a0e5-65da9c45a46e',TRUE,'003','2024-07-20 16:24:00+00',0,FALSE,'Unit1','','2022-04-01 08:27:00+00','2022-04-02 08:27:00+00',FALSE,0,FALSE,65,64,0,0,0,0,65,0,FALSE,'','03625504-b150-46f3-b9e6-d572f5b8b776',1,0,FALSE,0,1,'4dbc7800-d343-4d6e-ab27-a7706b0cd126',FALSE,0),</t>
  </si>
  <si>
    <t>('d6d634d8-c695-4bc8-9201-7d23b7facebd','2025-05-31 08:27:43.267332+00','866dabc4-6501-44d2-a0e5-65da9c45a46e','2025-05-31 08:27:43.267332+00','866dabc4-6501-44d2-a0e5-65da9c45a46e',TRUE,'003','2024-07-23 16:24:00+00',0,FALSE,'Unit1','','2022-04-01 08:27:00+00','2022-04-02 08:27:00+00',FALSE,0,FALSE,65,64,0,0,0,0,65,0,FALSE,'','03625504-b150-46f3-b9e6-d572f5b8b776',1,0,FALSE,0,1,'4dbc7800-d343-4d6e-ab27-a7706b0cd126',FALSE,0),</t>
  </si>
  <si>
    <t>('0e57d72a-cbfb-4edd-b763-051941206e67','2025-05-31 08:27:43.267332+00','866dabc4-6501-44d2-a0e5-65da9c45a46e','2025-05-31 08:27:43.267332+00','866dabc4-6501-44d2-a0e5-65da9c45a46e',TRUE,'003','2024-07-25 16:24:00+00',0,FALSE,'Unit1','','2022-04-01 08:27:00+00','2022-04-02 08:27:00+00',FALSE,0,FALSE,65,64,0,0,0,0,65,0,FALSE,'','03625504-b150-46f3-b9e6-d572f5b8b776',1,0,FALSE,0,1,'4dbc7800-d343-4d6e-ab27-a7706b0cd126',FALSE,0),</t>
  </si>
  <si>
    <t>('45c539a3-808a-4622-9bb4-65bf9ed485c1','2025-05-31 08:27:43.267332+00','866dabc4-6501-44d2-a0e5-65da9c45a46e','2025-05-31 08:27:43.267332+00','866dabc4-6501-44d2-a0e5-65da9c45a46e',TRUE,'003','2024-07-27 16:24:00+00',0,FALSE,'Unit1','','2022-04-01 08:27:00+00','2022-04-02 08:27:00+00',FALSE,0,FALSE,65,64,0,0,0,0,65,0,FALSE,'','03625504-b150-46f3-b9e6-d572f5b8b776',1,0,FALSE,0,1,'4dbc7800-d343-4d6e-ab27-a7706b0cd126',FALSE,0),</t>
  </si>
  <si>
    <t>('d89f1350-2777-48b0-8aa0-a568033c2d84','2025-05-31 08:27:43.267332+00','866dabc4-6501-44d2-a0e5-65da9c45a46e','2025-05-31 08:27:43.267332+00','866dabc4-6501-44d2-a0e5-65da9c45a46e',TRUE,'003','2024-08-30 16:24:00+00',0,FALSE,'Unit1','','2022-04-01 08:27:00+00','2022-04-02 08:27:00+00',FALSE,0,FALSE,65,64,0,0,0,0,65,0,FALSE,'','03625504-b150-46f3-b9e6-d572f5b8b776',1,0,FALSE,0,1,'4dbc7800-d343-4d6e-ab27-a7706b0cd126',FALSE,0),</t>
  </si>
  <si>
    <t>('a0e474ab-9bad-4676-93ea-2ba40831a321','2025-05-31 08:27:43.267332+00','866dabc4-6501-44d2-a0e5-65da9c45a46e','2025-05-31 08:27:43.267332+00','866dabc4-6501-44d2-a0e5-65da9c45a46e',TRUE,'003','2024-08-01 16:24:00+00',0,FALSE,'Unit1','','2022-04-01 08:27:00+00','2022-04-02 08:27:00+00',FALSE,0,FALSE,65,64,0,0,0,0,65,0,FALSE,'','03625504-b150-46f3-b9e6-d572f5b8b776',1,0,FALSE,0,1,'4dbc7800-d343-4d6e-ab27-a7706b0cd126',FALSE,0),</t>
  </si>
  <si>
    <t>('fafde93a-207f-4c7f-a39a-44bd10fe2b9f','2025-05-31 08:27:43.267332+00','866dabc4-6501-44d2-a0e5-65da9c45a46e','2025-05-31 08:27:43.267332+00','866dabc4-6501-44d2-a0e5-65da9c45a46e',TRUE,'003','2024-08-03 16:24:00+00',0,FALSE,'Unit1','','2022-04-01 08:27:00+00','2022-04-02 08:27:00+00',FALSE,0,FALSE,65,64,0,0,0,0,65,0,FALSE,'','03625504-b150-46f3-b9e6-d572f5b8b776',1,0,FALSE,0,1,'4dbc7800-d343-4d6e-ab27-a7706b0cd126',FALSE,0),</t>
  </si>
  <si>
    <t>('e1665467-ef4f-4efb-94e3-475b8118cd02','2025-05-31 08:27:43.267332+00','866dabc4-6501-44d2-a0e5-65da9c45a46e','2025-05-31 08:27:43.267332+00','866dabc4-6501-44d2-a0e5-65da9c45a46e',TRUE,'003','2024-08-06 16:24:00+01',0,FALSE,'Unit1','','2022-04-01 08:27:00+00','2022-04-02 08:27:00+00',FALSE,0,FALSE,65,64,0,0,0,0,65,0,FALSE,'','03625504-b150-46f3-b9e6-d572f5b8b776',1,0,FALSE,0,1,'4dbc7800-d343-4d6e-ab27-a7706b0cd126',FALSE,0),</t>
  </si>
  <si>
    <t>('0a29f610-889a-4a5a-96b8-ddd1332d723c','2025-05-31 08:27:43.267332+00','866dabc4-6501-44d2-a0e5-65da9c45a46e','2025-05-31 08:27:43.267332+00','866dabc4-6501-44d2-a0e5-65da9c45a46e',TRUE,'003','2024-08-08 16:24:00+01',0,FALSE,'Unit1','','2022-04-01 08:27:00+00','2022-04-02 08:27:00+00',FALSE,0,FALSE,65,64,0,0,0,0,65,0,FALSE,'','03625504-b150-46f3-b9e6-d572f5b8b776',1,0,FALSE,0,1,'4dbc7800-d343-4d6e-ab27-a7706b0cd126',FALSE,0),</t>
  </si>
  <si>
    <t>('0a126419-9038-473a-940a-b2cccbbe67cb','2025-05-31 08:27:43.267332+00','866dabc4-6501-44d2-a0e5-65da9c45a46e','2025-05-31 08:27:43.267332+00','866dabc4-6501-44d2-a0e5-65da9c45a46e',TRUE,'003','2024-08-10 16:24:00+01',0,FALSE,'Unit1','','2022-04-01 08:27:00+00','2022-04-02 08:27:00+00',FALSE,0,FALSE,65,64,0,0,0,0,65,0,FALSE,'','03625504-b150-46f3-b9e6-d572f5b8b776',1,0,FALSE,0,1,'4dbc7800-d343-4d6e-ab27-a7706b0cd126',FALSE,0),</t>
  </si>
  <si>
    <t>('fe56c45d-a4ac-4d76-bc26-ae070fd06e22','2025-05-31 08:27:43.267332+00','866dabc4-6501-44d2-a0e5-65da9c45a46e','2025-05-31 08:27:43.267332+00','866dabc4-6501-44d2-a0e5-65da9c45a46e',TRUE,'003','2024-08-13 16:24:00+02',0,FALSE,'Unit1','','2022-04-01 08:27:00+00','2022-04-02 08:27:00+00',FALSE,0,FALSE,65,64,0,0,0,0,65,0,FALSE,'','03625504-b150-46f3-b9e6-d572f5b8b776',1,0,FALSE,0,1,'4dbc7800-d343-4d6e-ab27-a7706b0cd126',FALSE,0),</t>
  </si>
  <si>
    <t>('1474ef6e-b557-4ff3-bb1e-218ed7e16474','2025-05-31 08:27:43.267332+00','866dabc4-6501-44d2-a0e5-65da9c45a46e','2025-05-31 08:27:43.267332+00','866dabc4-6501-44d2-a0e5-65da9c45a46e',TRUE,'003','2024-08-15 16:24:00+02',0,FALSE,'Unit1','','2022-04-01 08:27:00+00','2022-04-02 08:27:00+00',FALSE,0,FALSE,65,64,0,0,0,0,65,0,FALSE,'','03625504-b150-46f3-b9e6-d572f5b8b776',1,0,FALSE,0,1,'4dbc7800-d343-4d6e-ab27-a7706b0cd126',FALSE,0),</t>
  </si>
  <si>
    <t>('1fffc997-6778-42de-a86f-d27290f424b7','2025-05-31 08:27:43.267332+00','866dabc4-6501-44d2-a0e5-65da9c45a46e','2025-05-31 08:27:43.267332+00','866dabc4-6501-44d2-a0e5-65da9c45a46e',TRUE,'003','2024-08-17 16:24:00+02',0,FALSE,'Unit1','','2022-04-01 08:27:00+00','2022-04-02 08:27:00+00',FALSE,0,FALSE,65,64,0,0,0,0,65,0,FALSE,'','03625504-b150-46f3-b9e6-d572f5b8b776',1,0,FALSE,0,1,'4dbc7800-d343-4d6e-ab27-a7706b0cd126',FALSE,0),</t>
  </si>
  <si>
    <t>('5816d2d3-ee29-48b6-8dd3-cc8d783f9f75','2025-05-31 08:27:43.267332+00','866dabc4-6501-44d2-a0e5-65da9c45a46e','2025-05-31 08:27:43.267332+00','866dabc4-6501-44d2-a0e5-65da9c45a46e',TRUE,'003','2024-08-20 16:24:00+03',0,FALSE,'Unit1','','2022-04-01 08:27:00+00','2022-04-02 08:27:00+00',FALSE,0,FALSE,65,64,0,0,0,0,65,0,FALSE,'','03625504-b150-46f3-b9e6-d572f5b8b776',1,0,FALSE,0,1,'4dbc7800-d343-4d6e-ab27-a7706b0cd126',FALSE,0),</t>
  </si>
  <si>
    <t>('db2d7c41-9c13-4881-8481-c7273d625bc7','2025-05-31 08:27:43.267332+00','866dabc4-6501-44d2-a0e5-65da9c45a46e','2025-05-31 08:27:43.267332+00','866dabc4-6501-44d2-a0e5-65da9c45a46e',TRUE,'003','2024-08-22 16:24:00+03',0,FALSE,'Unit1','','2022-04-01 08:27:00+00','2022-04-02 08:27:00+00',FALSE,0,FALSE,65,64,0,0,0,0,65,0,FALSE,'','03625504-b150-46f3-b9e6-d572f5b8b776',1,0,FALSE,0,1,'4dbc7800-d343-4d6e-ab27-a7706b0cd126',FALSE,0),</t>
  </si>
  <si>
    <t>('770c1bf7-d114-49fe-a3d3-7ea30f4a280c','2025-05-31 08:27:43.267332+00','866dabc4-6501-44d2-a0e5-65da9c45a46e','2025-05-31 08:27:43.267332+00','866dabc4-6501-44d2-a0e5-65da9c45a46e',TRUE,'003','2024-08-24 16:24:00+03',0,FALSE,'Unit1','','2022-04-01 08:27:00+00','2022-04-02 08:27:00+00',FALSE,0,FALSE,65,64,0,0,0,0,65,0,FALSE,'','03625504-b150-46f3-b9e6-d572f5b8b776',1,0,FALSE,0,1,'4dbc7800-d343-4d6e-ab27-a7706b0cd126',FALSE,0),</t>
  </si>
  <si>
    <t>('fdedf1b5-0542-4ef5-8bac-735a9ebe7609','2025-05-31 08:27:43.267332+00','866dabc4-6501-44d2-a0e5-65da9c45a46e','2025-05-31 08:27:43.267332+00','866dabc4-6501-44d2-a0e5-65da9c45a46e',TRUE,'003','2024-08-27 16:24:00+04',0,FALSE,'Unit1','','2022-04-01 08:27:00+00','2022-04-02 08:27:00+00',FALSE,0,FALSE,65,64,0,0,0,0,65,0,FALSE,'','03625504-b150-46f3-b9e6-d572f5b8b776',1,0,FALSE,0,1,'4dbc7800-d343-4d6e-ab27-a7706b0cd126',FALSE,0),</t>
  </si>
  <si>
    <t>('c55b9ecb-2b33-488f-a0b1-2cc355b4445a','2025-05-31 08:27:43.267332+00','866dabc4-6501-44d2-a0e5-65da9c45a46e','2025-05-31 08:27:43.267332+00','866dabc4-6501-44d2-a0e5-65da9c45a46e',TRUE,'003','2024-08-29 16:24:00+04',0,FALSE,'Unit1','','2022-04-01 08:27:00+00','2022-04-02 08:27:00+00',FALSE,0,FALSE,65,64,0,0,0,0,65,0,FALSE,'','03625504-b150-46f3-b9e6-d572f5b8b776',1,0,FALSE,0,1,'4dbc7800-d343-4d6e-ab27-a7706b0cd126',FALSE,0),</t>
  </si>
  <si>
    <t>('47e37966-a06a-45b9-bb49-832d760fbbc0','2025-05-31 08:27:43.267332+00','866dabc4-6501-44d2-a0e5-65da9c45a46e','2025-05-31 08:27:43.267332+00','866dabc4-6501-44d2-a0e5-65da9c45a46e',TRUE,'003','2024-08-31 16:24:00+04',0,FALSE,'Unit1','','2022-04-01 08:27:00+00','2022-04-02 08:27:00+00',FALSE,0,FALSE,65,64,0,0,0,0,65,0,FALSE,'','03625504-b150-46f3-b9e6-d572f5b8b776',1,0,FALSE,0,1,'4dbc7800-d343-4d6e-ab27-a7706b0cd126',FALSE,0),</t>
  </si>
  <si>
    <t>('4dbde329-db66-4c13-81e8-ce4378e0a71b','2025-05-31 08:27:43.267332+00','866dabc4-6501-44d2-a0e5-65da9c45a46e','2025-05-31 08:27:43.267332+00','866dabc4-6501-44d2-a0e5-65da9c45a46e',TRUE,'003','2024-09-03 16:24:00+00',0,FALSE,'Unit1','','2022-04-01 08:27:00+00','2022-04-02 08:27:00+00',FALSE,0,FALSE,65,64,0,0,0,0,65,0,FALSE,'','03625504-b150-46f3-b9e6-d572f5b8b776',1,0,FALSE,0,1,'4dbc7800-d343-4d6e-ab27-a7706b0cd126',FALSE,0),</t>
  </si>
  <si>
    <t>('0db52e95-6579-4b29-ae5d-46ab0aa92181','2025-05-31 08:27:43.267332+00','866dabc4-6501-44d2-a0e5-65da9c45a46e','2025-05-31 08:27:43.267332+00','866dabc4-6501-44d2-a0e5-65da9c45a46e',TRUE,'003','2024-09-05 16:24:00+00',0,FALSE,'Unit1','','2022-04-01 08:27:00+00','2022-04-02 08:27:00+00',FALSE,0,FALSE,65,64,0,0,0,0,65,0,FALSE,'','03625504-b150-46f3-b9e6-d572f5b8b776',1,0,FALSE,0,1,'4dbc7800-d343-4d6e-ab27-a7706b0cd126',FALSE,0),</t>
  </si>
  <si>
    <t>('8bcb1869-8a51-4c38-a3c1-fcea5e163956','2025-05-31 08:27:43.267332+00','866dabc4-6501-44d2-a0e5-65da9c45a46e','2025-05-31 08:27:43.267332+00','866dabc4-6501-44d2-a0e5-65da9c45a46e',TRUE,'003','2024-09-07 16:24:00+00',0,FALSE,'Unit1','','2022-04-01 08:27:00+00','2022-04-02 08:27:00+00',FALSE,0,FALSE,65,64,0,0,0,0,65,0,FALSE,'','03625504-b150-46f3-b9e6-d572f5b8b776',1,0,FALSE,0,1,'4dbc7800-d343-4d6e-ab27-a7706b0cd126',FALSE,0),</t>
  </si>
  <si>
    <t>('4466b1ed-b531-44cf-a6d9-5881e833da1f','2025-05-31 08:27:43.267332+00','866dabc4-6501-44d2-a0e5-65da9c45a46e','2025-05-31 08:27:43.267332+00','866dabc4-6501-44d2-a0e5-65da9c45a46e',TRUE,'003','2024-09-10 16:24:00+01',0,FALSE,'Unit1','','2022-04-01 08:27:00+00','2022-04-02 08:27:00+00',FALSE,0,FALSE,65,64,0,0,0,0,65,0,FALSE,'','03625504-b150-46f3-b9e6-d572f5b8b776',1,0,FALSE,0,1,'4dbc7800-d343-4d6e-ab27-a7706b0cd126',FALSE,0),</t>
  </si>
  <si>
    <t>('ee7713d1-e9f0-42e6-b038-7b6597118963','2025-05-31 08:27:43.267332+00','866dabc4-6501-44d2-a0e5-65da9c45a46e','2025-05-31 08:27:43.267332+00','866dabc4-6501-44d2-a0e5-65da9c45a46e',TRUE,'003','2024-09-12 16:24:00+01',0,FALSE,'Unit1','','2022-04-01 08:27:00+00','2022-04-02 08:27:00+00',FALSE,0,FALSE,65,64,0,0,0,0,65,0,FALSE,'','03625504-b150-46f3-b9e6-d572f5b8b776',1,0,FALSE,0,1,'4dbc7800-d343-4d6e-ab27-a7706b0cd126',FALSE,0),</t>
  </si>
  <si>
    <t>('759e742d-4e5c-40ae-8a79-8a3c5f1738b1','2025-05-31 08:27:43.267332+00','866dabc4-6501-44d2-a0e5-65da9c45a46e','2025-05-31 08:27:43.267332+00','866dabc4-6501-44d2-a0e5-65da9c45a46e',TRUE,'003','2024-09-14 16:24:00+01',0,FALSE,'Unit1','','2022-04-01 08:27:00+00','2022-04-02 08:27:00+00',FALSE,0,FALSE,65,64,0,0,0,0,65,0,FALSE,'','03625504-b150-46f3-b9e6-d572f5b8b776',1,0,FALSE,0,1,'4dbc7800-d343-4d6e-ab27-a7706b0cd126',FALSE,0),</t>
  </si>
  <si>
    <t>('b93e8089-608e-4e11-a78d-030149e75a7a','2025-05-31 08:27:43.267332+00','866dabc4-6501-44d2-a0e5-65da9c45a46e','2025-05-31 08:27:43.267332+00','866dabc4-6501-44d2-a0e5-65da9c45a46e',TRUE,'003','2024-09-17 16:24:00+02',0,FALSE,'Unit1','','2022-04-01 08:27:00+00','2022-04-02 08:27:00+00',FALSE,0,FALSE,65,64,0,0,0,0,65,0,FALSE,'','03625504-b150-46f3-b9e6-d572f5b8b776',1,0,FALSE,0,1,'4dbc7800-d343-4d6e-ab27-a7706b0cd126',FALSE,0),</t>
  </si>
  <si>
    <t>('d14366fb-75b6-40f6-87ac-63c4bd735f45','2025-05-31 08:27:43.267332+00','866dabc4-6501-44d2-a0e5-65da9c45a46e','2025-05-31 08:27:43.267332+00','866dabc4-6501-44d2-a0e5-65da9c45a46e',TRUE,'003','2024-09-19 16:24:00+02',0,FALSE,'Unit1','','2022-04-01 08:27:00+00','2022-04-02 08:27:00+00',FALSE,0,FALSE,65,64,0,0,0,0,65,0,FALSE,'','03625504-b150-46f3-b9e6-d572f5b8b776',1,0,FALSE,0,1,'4dbc7800-d343-4d6e-ab27-a7706b0cd126',FALSE,0),</t>
  </si>
  <si>
    <t>('018a1d1e-ef5a-40e6-88e7-6540c1f86a70','2025-05-31 08:27:43.267332+00','866dabc4-6501-44d2-a0e5-65da9c45a46e','2025-05-31 08:27:43.267332+00','866dabc4-6501-44d2-a0e5-65da9c45a46e',TRUE,'003','2024-09-21 16:24:00+02',0,FALSE,'Unit1','','2022-04-01 08:27:00+00','2022-04-02 08:27:00+00',FALSE,0,FALSE,65,64,0,0,0,0,65,0,FALSE,'','03625504-b150-46f3-b9e6-d572f5b8b776',1,0,FALSE,0,1,'4dbc7800-d343-4d6e-ab27-a7706b0cd126',FALSE,0),</t>
  </si>
  <si>
    <t>('3a1e9f3d-6eff-41b8-b48e-afed057c8390','2025-05-31 08:27:43.267332+00','866dabc4-6501-44d2-a0e5-65da9c45a46e','2025-05-31 08:27:43.267332+00','866dabc4-6501-44d2-a0e5-65da9c45a46e',TRUE,'003','2024-09-24 16:24:00+03',0,FALSE,'Unit1','','2022-04-01 08:27:00+00','2022-04-02 08:27:00+00',FALSE,0,FALSE,65,64,0,0,0,0,65,0,FALSE,'','03625504-b150-46f3-b9e6-d572f5b8b776',1,0,FALSE,0,1,'4dbc7800-d343-4d6e-ab27-a7706b0cd126',FALSE,0),</t>
  </si>
  <si>
    <t>('2dd0b397-cc78-415c-8582-0619dfeba008','2025-05-31 08:27:43.267332+00','866dabc4-6501-44d2-a0e5-65da9c45a46e','2025-05-31 08:27:43.267332+00','866dabc4-6501-44d2-a0e5-65da9c45a46e',TRUE,'003','2024-09-26 16:24:00+03',0,FALSE,'Unit1','','2022-04-01 08:27:00+00','2022-04-02 08:27:00+00',FALSE,0,FALSE,65,64,0,0,0,0,65,0,FALSE,'','03625504-b150-46f3-b9e6-d572f5b8b776',1,0,FALSE,0,1,'4dbc7800-d343-4d6e-ab27-a7706b0cd126',FALSE,0),</t>
  </si>
  <si>
    <t>('9449cb47-a8b9-40c4-a438-3dbcd1b17b49','2025-05-31 08:27:43.267332+00','866dabc4-6501-44d2-a0e5-65da9c45a46e','2025-05-31 08:27:43.267332+00','866dabc4-6501-44d2-a0e5-65da9c45a46e',TRUE,'003','2024-09-28 16:24:00+03',0,FALSE,'Unit1','','2022-04-01 08:27:00+00','2022-04-02 08:27:00+00',FALSE,0,FALSE,65,64,0,0,0,0,65,0,FALSE,'','03625504-b150-46f3-b9e6-d572f5b8b776',1,0,FALSE,0,1,'4dbc7800-d343-4d6e-ab27-a7706b0cd126',FALSE,0),</t>
  </si>
  <si>
    <t>('0d417f6c-65f9-4df0-baa0-a9fd7b8d7aed','2025-05-31 08:27:43.267332+00','866dabc4-6501-44d2-a0e5-65da9c45a46e','2025-05-31 08:27:43.267332+00','866dabc4-6501-44d2-a0e5-65da9c45a46e',TRUE,'003','2024-10-01 16:24:00+04',0,FALSE,'Unit1','','2022-04-01 08:27:00+00','2022-04-02 08:27:00+00',FALSE,0,FALSE,65,64,0,0,0,0,65,0,FALSE,'','03625504-b150-46f3-b9e6-d572f5b8b776',1,0,FALSE,0,1,'4dbc7800-d343-4d6e-ab27-a7706b0cd126',FALSE,0),</t>
  </si>
  <si>
    <t>('4b59ee2d-1080-4631-a7d6-d961434448da','2025-05-31 08:27:43.267332+00','866dabc4-6501-44d2-a0e5-65da9c45a46e','2025-05-31 08:27:43.267332+00','866dabc4-6501-44d2-a0e5-65da9c45a46e',TRUE,'003','2024-10-03 16:24:00+04',0,FALSE,'Unit1','','2022-04-01 08:27:00+00','2022-04-02 08:27:00+00',FALSE,0,FALSE,65,64,0,0,0,0,65,0,FALSE,'','03625504-b150-46f3-b9e6-d572f5b8b776',1,0,FALSE,0,1,'4dbc7800-d343-4d6e-ab27-a7706b0cd126',FALSE,0),</t>
  </si>
  <si>
    <t>('2a7b8453-cec4-4c41-bb47-d12678e6b6e4','2025-05-31 08:27:43.267332+00','866dabc4-6501-44d2-a0e5-65da9c45a46e','2025-05-31 08:27:43.267332+00','866dabc4-6501-44d2-a0e5-65da9c45a46e',TRUE,'003','2024-10-05 16:24:00+04',0,FALSE,'Unit1','','2022-04-01 08:27:00+00','2022-04-02 08:27:00+00',FALSE,0,FALSE,65,64,0,0,0,0,65,0,FALSE,'','03625504-b150-46f3-b9e6-d572f5b8b776',1,0,FALSE,0,1,'4dbc7800-d343-4d6e-ab27-a7706b0cd126',FALSE,0),</t>
  </si>
  <si>
    <t>('aec14bb9-ee40-49f6-9f85-e0f707dd3945','2024-01-01','866dabc4-6501-44d2-a0e5-65da9c45a46e','2024-01-01','866dabc4-6501-44d2-a0e5-65da9c45a46e',TRUE,'2024-01-01','003',-2,2.5,FALSE),</t>
  </si>
  <si>
    <t>('b980eba0-e062-4b23-859d-4f0df86b94ac','2024-01-04','866dabc4-6501-44d2-a0e5-65da9c45a46e','2024-01-04','866dabc4-6501-44d2-a0e5-65da9c45a46e',TRUE,'2024-01-04','003',-2,2.5,FALSE),</t>
  </si>
  <si>
    <t>('861cc56c-9aad-4fcb-9a3e-166c1af4d67b','2024-01-08','866dabc4-6501-44d2-a0e5-65da9c45a46e','2024-01-08','866dabc4-6501-44d2-a0e5-65da9c45a46e',TRUE,'2024-01-08','003',-2,2.5,FALSE),</t>
  </si>
  <si>
    <t>('ef00f619-296d-4e5f-9e85-237554af9771','2024-01-11','866dabc4-6501-44d2-a0e5-65da9c45a46e','2024-01-11','866dabc4-6501-44d2-a0e5-65da9c45a46e',TRUE,'2024-01-11','003',-2,2.5,FALSE),</t>
  </si>
  <si>
    <t>('e5e717a9-83e4-4d52-a171-a3289f70c737','2024-01-15','866dabc4-6501-44d2-a0e5-65da9c45a46e','2024-01-15','866dabc4-6501-44d2-a0e5-65da9c45a46e',TRUE,'2024-01-15','003',-2,2.5,FALSE),</t>
  </si>
  <si>
    <t>('3c36fe72-0a4b-41c2-9366-2dcd8c4801a7','2024-01-18','866dabc4-6501-44d2-a0e5-65da9c45a46e','2024-01-18','866dabc4-6501-44d2-a0e5-65da9c45a46e',TRUE,'2024-01-18','003',-2,2.5,FALSE),</t>
  </si>
  <si>
    <t>('4355156d-16e4-44fb-9ac5-e95f0ec74640','2024-01-22','866dabc4-6501-44d2-a0e5-65da9c45a46e','2024-01-22','866dabc4-6501-44d2-a0e5-65da9c45a46e',TRUE,'2024-01-22','003',-2,2.5,FALSE),</t>
  </si>
  <si>
    <t>('2c3b6ffa-7679-40b3-bc00-448d85bc7fe7','2024-01-25','866dabc4-6501-44d2-a0e5-65da9c45a46e','2024-01-25','866dabc4-6501-44d2-a0e5-65da9c45a46e',TRUE,'2024-01-25','003',-2,2.5,FALSE),</t>
  </si>
  <si>
    <t>('a3322c73-aaeb-468e-94b6-d64a2644098d','2024-01-29','866dabc4-6501-44d2-a0e5-65da9c45a46e','2024-01-29','866dabc4-6501-44d2-a0e5-65da9c45a46e',TRUE,'2024-01-29','003',-2,2.5,FALSE),</t>
  </si>
  <si>
    <t>('5cbf9b4b-c16b-4eb4-b294-5730bc125464','2024-02-01','866dabc4-6501-44d2-a0e5-65da9c45a46e','2024-02-01','866dabc4-6501-44d2-a0e5-65da9c45a46e',TRUE,'2024-02-01','003',-2,2.5,FALSE),</t>
  </si>
  <si>
    <t>('ca701d88-3acb-4898-ac69-320a3434025d','2024-02-02','866dabc4-6501-44d2-a0e5-65da9c45a46e','2024-02-02','866dabc4-6501-44d2-a0e5-65da9c45a46e',TRUE,'2024-02-02','003',-2,2.5,FALSE),</t>
  </si>
  <si>
    <t>('51b4ab3d-32ba-4c1c-a937-03c9eb146f3f','2024-02-08','866dabc4-6501-44d2-a0e5-65da9c45a46e','2024-02-08','866dabc4-6501-44d2-a0e5-65da9c45a46e',TRUE,'2024-02-08','003',-2,2.5,FALSE),</t>
  </si>
  <si>
    <t>('a241ce74-7075-406f-998d-6cf3c1b8956a','2024-02-12','866dabc4-6501-44d2-a0e5-65da9c45a46e','2024-02-12','866dabc4-6501-44d2-a0e5-65da9c45a46e',TRUE,'2024-02-12','003',-2,2.5,FALSE),</t>
  </si>
  <si>
    <t>('4bfab929-7ab1-4d4f-86da-4b62c0569b1a','2024-02-15','866dabc4-6501-44d2-a0e5-65da9c45a46e','2024-02-15','866dabc4-6501-44d2-a0e5-65da9c45a46e',TRUE,'2024-02-15','003',-2,2.5,FALSE),</t>
  </si>
  <si>
    <t>('530e8dad-628e-4c06-8bf6-d7e2f5de760e','2024-02-19','866dabc4-6501-44d2-a0e5-65da9c45a46e','2024-02-19','866dabc4-6501-44d2-a0e5-65da9c45a46e',TRUE,'2024-02-19','003',-2,2.5,FALSE),</t>
  </si>
  <si>
    <t>('d3961ee7-7865-4d2e-b156-21aa56e0c237','2024-02-22','866dabc4-6501-44d2-a0e5-65da9c45a46e','2024-02-22','866dabc4-6501-44d2-a0e5-65da9c45a46e',TRUE,'2024-02-22','003',-2,2.5,FALSE),</t>
  </si>
  <si>
    <t>('c3db5d7e-35c3-4741-96f0-24ddf13bef42','2024-02-26','866dabc4-6501-44d2-a0e5-65da9c45a46e','2024-02-26','866dabc4-6501-44d2-a0e5-65da9c45a46e',TRUE,'2024-02-26','003',-2,2.5,FALSE),</t>
  </si>
  <si>
    <t>('8f9a3c50-e3cb-4da6-9efb-9dd6ef0503a2','2024-02-29','866dabc4-6501-44d2-a0e5-65da9c45a46e','2024-02-29','866dabc4-6501-44d2-a0e5-65da9c45a46e',TRUE,'2024-02-29','003',-2,2.5,FALSE),</t>
  </si>
  <si>
    <t>('2e393ae1-da80-4a5b-811d-f8b8b4191562','2024-03-04','866dabc4-6501-44d2-a0e5-65da9c45a46e','2024-03-04','866dabc4-6501-44d2-a0e5-65da9c45a46e',TRUE,'2024-03-04','003',-2,2.5,FALSE),</t>
  </si>
  <si>
    <t>('3e5b82d2-b5f8-47a6-a838-8ea3a4c40ccb','2024-03-07','866dabc4-6501-44d2-a0e5-65da9c45a46e','2024-03-07','866dabc4-6501-44d2-a0e5-65da9c45a46e',TRUE,'2024-03-07','003',-2,2.5,FALSE),</t>
  </si>
  <si>
    <t>('529c51f2-e2ce-43f6-ab3a-cc57ca5a7292','2024-03-11','866dabc4-6501-44d2-a0e5-65da9c45a46e','2024-03-11','866dabc4-6501-44d2-a0e5-65da9c45a46e',TRUE,'2024-03-11','003',-2,2.5,FALSE),</t>
  </si>
  <si>
    <t>('36cc670f-b9eb-4363-967d-e17c7dbde052','2024-03-14','866dabc4-6501-44d2-a0e5-65da9c45a46e','2024-03-14','866dabc4-6501-44d2-a0e5-65da9c45a46e',TRUE,'2024-03-14','003',-2,2.5,FALSE),</t>
  </si>
  <si>
    <t>('257c465a-aad9-44c5-8756-868ea21d42b1','2024-03-18','866dabc4-6501-44d2-a0e5-65da9c45a46e','2024-03-18','866dabc4-6501-44d2-a0e5-65da9c45a46e',TRUE,'2024-03-18','003',-2,2.5,FALSE),</t>
  </si>
  <si>
    <t>('940622a4-8f7c-4735-a52a-4b110455f2c8','2024-03-21','866dabc4-6501-44d2-a0e5-65da9c45a46e','2024-03-21','866dabc4-6501-44d2-a0e5-65da9c45a46e',TRUE,'2024-03-21','003',-2,2.5,FALSE),</t>
  </si>
  <si>
    <t>('7ab8ea1d-c0d8-435e-9cd9-a19a1004bfa5','2024-03-25','866dabc4-6501-44d2-a0e5-65da9c45a46e','2024-03-25','866dabc4-6501-44d2-a0e5-65da9c45a46e',TRUE,'2024-03-25','003',-2,2.5,FALSE),</t>
  </si>
  <si>
    <t>('2297dd21-8dc5-43f1-a1cb-9ade8664f598','2024-03-28','866dabc4-6501-44d2-a0e5-65da9c45a46e','2024-03-28','866dabc4-6501-44d2-a0e5-65da9c45a46e',TRUE,'2024-03-28','003',-2,2.5,FALSE),</t>
  </si>
  <si>
    <t>('112a33d6-c4d3-49f3-96cf-37913c6ee7f5','2024-07-02 16:24:00+00','00000000-0000-0000-0000-000000000000','2024-07-02 16:24:00+00','00000000-0000-0000-0000-000000000000',TRUE,'2024-07-02 16:24:00+00','003',-2,2.5,FALSE),</t>
  </si>
  <si>
    <t>('e2315d7d-19e2-4e2e-90f1-038dccc4cd9d','2024-07-04 16:24:00+00','00000000-0000-0000-0000-000000000000','2024-07-04 16:24:00+00','00000000-0000-0000-0000-000000000000',TRUE,'2024-07-04 16:24:00+00','003',-2,2.5,FALSE),</t>
  </si>
  <si>
    <t>('556851a9-876e-4801-850a-8801e82fe688','2024-07-06 16:24:00+00','00000000-0000-0000-0000-000000000000','2024-07-06 16:24:00+00','00000000-0000-0000-0000-000000000000',TRUE,'2024-07-06 16:24:00+00','003',-2,2.5,FALSE),</t>
  </si>
  <si>
    <t>('66ac42a9-68ba-4f29-a754-5d5ac454bb97','2024-07-09 16:24:00+00','00000000-0000-0000-0000-000000000000','2024-07-09 16:24:00+00','00000000-0000-0000-0000-000000000000',TRUE,'2024-07-09 16:24:00+00','003',-2,2.5,FALSE),</t>
  </si>
  <si>
    <t>('ce49f22e-ef54-4783-9158-03f65025131e','2024-07-11 16:24:00+00','00000000-0000-0000-0000-000000000000','2024-07-11 16:24:00+00','00000000-0000-0000-0000-000000000000',TRUE,'2024-07-11 16:24:00+00','003',-2,2.5,FALSE),</t>
  </si>
  <si>
    <t>('620e5bd4-40fc-4564-896b-83ca072d50d8','2024-07-13 16:24:00+00','00000000-0000-0000-0000-000000000000','2024-07-13 16:24:00+00','00000000-0000-0000-0000-000000000000',TRUE,'2024-07-13 16:24:00+00','003',-2,2.5,FALSE),</t>
  </si>
  <si>
    <t>('ec048ee3-c046-4bc0-ad5d-5f36ec8f91cd','2024-07-16 16:24:00+00','00000000-0000-0000-0000-000000000000','2024-07-16 16:24:00+00','00000000-0000-0000-0000-000000000000',TRUE,'2024-07-16 16:24:00+00','003',-2,2.5,FALSE),</t>
  </si>
  <si>
    <t>('4f55c25e-2c12-448b-b1e1-2f409edaaadf','2024-07-18 16:24:00+00','00000000-0000-0000-0000-000000000000','2024-07-18 16:24:00+00','00000000-0000-0000-0000-000000000000',TRUE,'2024-07-18 16:24:00+00','003',-2,2.5,FALSE),</t>
  </si>
  <si>
    <t>('d79ab817-bd01-475d-87c2-746b0dc71292','2024-07-20 16:24:00+00','00000000-0000-0000-0000-000000000000','2024-07-20 16:24:00+00','00000000-0000-0000-0000-000000000000',TRUE,'2024-07-20 16:24:00+00','003',-2,2.5,FALSE),</t>
  </si>
  <si>
    <t>('d6d634d8-c695-4bc8-9201-7d23b7facebd','2024-07-23 16:24:00+00','00000000-0000-0000-0000-000000000000','2024-07-23 16:24:00+00','00000000-0000-0000-0000-000000000000',TRUE,'2024-07-23 16:24:00+00','003',-2,2.5,FALSE),</t>
  </si>
  <si>
    <t>('0e57d72a-cbfb-4edd-b763-051941206e67','2024-07-25 16:24:00+00','00000000-0000-0000-0000-000000000000','2024-07-25 16:24:00+00','00000000-0000-0000-0000-000000000000',TRUE,'2024-07-25 16:24:00+00','003',-2,2.5,FALSE),</t>
  </si>
  <si>
    <t>('45c539a3-808a-4622-9bb4-65bf9ed485c1','2024-07-27 16:24:00+00','00000000-0000-0000-0000-000000000000','2024-07-27 16:24:00+00','00000000-0000-0000-0000-000000000000',TRUE,'2024-07-27 16:24:00+00','003',-2,2.5,FALSE),</t>
  </si>
  <si>
    <t>('d89f1350-2777-48b0-8aa0-a568033c2d84','2024-08-30 16:24:00+00','00000000-0000-0000-0000-000000000000','2024-08-30 16:24:00+00','00000000-0000-0000-0000-000000000000',TRUE,'2024-08-30 16:24:00+00','003',-2,2.5,FALSE),</t>
  </si>
  <si>
    <t>('a0e474ab-9bad-4676-93ea-2ba40831a321','2024-08-01 16:24:00+00','00000000-0000-0000-0000-000000000000','2024-08-01 16:24:00+00','00000000-0000-0000-0000-000000000000',TRUE,'2024-08-01 16:24:00+00','003',-2,2.5,FALSE),</t>
  </si>
  <si>
    <t>('fafde93a-207f-4c7f-a39a-44bd10fe2b9f','2024-08-03 16:24:00+00','00000000-0000-0000-0000-000000000000','2024-08-03 16:24:00+00','00000000-0000-0000-0000-000000000000',TRUE,'2024-08-03 16:24:00+00','003',-2,2.5,FALSE),</t>
  </si>
  <si>
    <t>('e1665467-ef4f-4efb-94e3-475b8118cd02','2024-08-06 16:24:00+01','00000000-0000-0000-0000-000000000000','2024-08-06 16:24:00+01','00000000-0000-0000-0000-000000000000',TRUE,'2024-08-06 16:24:00+01','003',-2,2.5,FALSE),</t>
  </si>
  <si>
    <t>('0a29f610-889a-4a5a-96b8-ddd1332d723c','2024-08-08 16:24:00+01','00000000-0000-0000-0000-000000000000','2024-08-08 16:24:00+01','00000000-0000-0000-0000-000000000000',TRUE,'2024-08-08 16:24:00+01','003',-2,2.5,FALSE),</t>
  </si>
  <si>
    <t>('0a126419-9038-473a-940a-b2cccbbe67cb','2024-08-10 16:24:00+01','00000000-0000-0000-0000-000000000000','2024-08-10 16:24:00+01','00000000-0000-0000-0000-000000000000',TRUE,'2024-08-10 16:24:00+01','003',-2,2.5,FALSE),</t>
  </si>
  <si>
    <t>('fe56c45d-a4ac-4d76-bc26-ae070fd06e22','2024-08-13 16:24:00+02','00000000-0000-0000-0000-000000000000','2024-08-13 16:24:00+02','00000000-0000-0000-0000-000000000000',TRUE,'2024-08-13 16:24:00+02','003',-2,2.5,FALSE),</t>
  </si>
  <si>
    <t>('1474ef6e-b557-4ff3-bb1e-218ed7e16474','2024-08-15 16:24:00+02','00000000-0000-0000-0000-000000000000','2024-08-15 16:24:00+02','00000000-0000-0000-0000-000000000000',TRUE,'2024-08-15 16:24:00+02','003',-2,2.5,FALSE),</t>
  </si>
  <si>
    <t>('1fffc997-6778-42de-a86f-d27290f424b7','2024-08-17 16:24:00+02','00000000-0000-0000-0000-000000000000','2024-08-17 16:24:00+02','00000000-0000-0000-0000-000000000000',TRUE,'2024-08-17 16:24:00+02','003',-2,2.5,FALSE),</t>
  </si>
  <si>
    <t>('5816d2d3-ee29-48b6-8dd3-cc8d783f9f75','2024-08-20 16:24:00+03','00000000-0000-0000-0000-000000000000','2024-08-20 16:24:00+03','00000000-0000-0000-0000-000000000000',TRUE,'2024-08-20 16:24:00+03','003',-2,2.5,FALSE),</t>
  </si>
  <si>
    <t>('db2d7c41-9c13-4881-8481-c7273d625bc7','2024-08-22 16:24:00+03','00000000-0000-0000-0000-000000000000','2024-08-22 16:24:00+03','00000000-0000-0000-0000-000000000000',TRUE,'2024-08-22 16:24:00+03','003',-2,2.5,FALSE),</t>
  </si>
  <si>
    <t>('770c1bf7-d114-49fe-a3d3-7ea30f4a280c','2024-08-24 16:24:00+03','00000000-0000-0000-0000-000000000000','2024-08-24 16:24:00+03','00000000-0000-0000-0000-000000000000',TRUE,'2024-08-24 16:24:00+03','003',-2,2.5,FALSE),</t>
  </si>
  <si>
    <t>('fdedf1b5-0542-4ef5-8bac-735a9ebe7609','2024-08-27 16:24:00+04','00000000-0000-0000-0000-000000000000','2024-08-27 16:24:00+04','00000000-0000-0000-0000-000000000000',TRUE,'2024-08-27 16:24:00+04','003',-2,2.5,FALSE),</t>
  </si>
  <si>
    <t>('c55b9ecb-2b33-488f-a0b1-2cc355b4445a','2024-08-29 16:24:00+04','00000000-0000-0000-0000-000000000000','2024-08-29 16:24:00+04','00000000-0000-0000-0000-000000000000',TRUE,'2024-08-29 16:24:00+04','003',-2,2.5,FALSE),</t>
  </si>
  <si>
    <t>('47e37966-a06a-45b9-bb49-832d760fbbc0','2024-08-31 16:24:00+04','00000000-0000-0000-0000-000000000000','2024-08-31 16:24:00+04','00000000-0000-0000-0000-000000000000',TRUE,'2024-08-31 16:24:00+04','003',-2,2.5,FALSE),</t>
  </si>
  <si>
    <t>('4dbde329-db66-4c13-81e8-ce4378e0a71b','2024-09-03 16:24:00+00','00000000-0000-0000-0000-000000000000','2024-09-03 16:24:00+00','00000000-0000-0000-0000-000000000000',TRUE,'2024-09-03 16:24:00+00','003',-2,2.5,FALSE),</t>
  </si>
  <si>
    <t>('0db52e95-6579-4b29-ae5d-46ab0aa92181','2024-09-05 16:24:00+00','00000000-0000-0000-0000-000000000000','2024-09-05 16:24:00+00','00000000-0000-0000-0000-000000000000',TRUE,'2024-09-05 16:24:00+00','003',-2,2.5,FALSE),</t>
  </si>
  <si>
    <t>('8bcb1869-8a51-4c38-a3c1-fcea5e163956','2024-09-07 16:24:00+00','00000000-0000-0000-0000-000000000000','2024-09-07 16:24:00+00','00000000-0000-0000-0000-000000000000',TRUE,'2024-09-07 16:24:00+00','003',-2,2.5,FALSE),</t>
  </si>
  <si>
    <t>('4466b1ed-b531-44cf-a6d9-5881e833da1f','2024-09-10 16:24:00+01','00000000-0000-0000-0000-000000000000','2024-09-10 16:24:00+01','00000000-0000-0000-0000-000000000000',TRUE,'2024-09-10 16:24:00+01','003',-2,2.5,FALSE),</t>
  </si>
  <si>
    <t>('ee7713d1-e9f0-42e6-b038-7b6597118963','2024-09-12 16:24:00+01','00000000-0000-0000-0000-000000000000','2024-09-12 16:24:00+01','00000000-0000-0000-0000-000000000000',TRUE,'2024-09-12 16:24:00+01','003',-2,2.5,FALSE),</t>
  </si>
  <si>
    <t>('759e742d-4e5c-40ae-8a79-8a3c5f1738b1','2024-09-14 16:24:00+01','00000000-0000-0000-0000-000000000000','2024-09-14 16:24:00+01','00000000-0000-0000-0000-000000000000',TRUE,'2024-09-14 16:24:00+01','003',-2,2.5,FALSE),</t>
  </si>
  <si>
    <t>('b93e8089-608e-4e11-a78d-030149e75a7a','2024-09-17 16:24:00+02','00000000-0000-0000-0000-000000000000','2024-09-17 16:24:00+02','00000000-0000-0000-0000-000000000000',TRUE,'2024-09-17 16:24:00+02','003',-2,2.5,FALSE),</t>
  </si>
  <si>
    <t>('d14366fb-75b6-40f6-87ac-63c4bd735f45','2024-09-19 16:24:00+02','00000000-0000-0000-0000-000000000000','2024-09-19 16:24:00+02','00000000-0000-0000-0000-000000000000',TRUE,'2024-09-19 16:24:00+02','003',-2,2.5,FALSE),</t>
  </si>
  <si>
    <t>('018a1d1e-ef5a-40e6-88e7-6540c1f86a70','2024-09-21 16:24:00+02','00000000-0000-0000-0000-000000000000','2024-09-21 16:24:00+02','00000000-0000-0000-0000-000000000000',TRUE,'2024-09-21 16:24:00+02','003',-2,2.5,FALSE),</t>
  </si>
  <si>
    <t>('3a1e9f3d-6eff-41b8-b48e-afed057c8390','2024-09-24 16:24:00+03','00000000-0000-0000-0000-000000000000','2024-09-24 16:24:00+03','00000000-0000-0000-0000-000000000000',TRUE,'2024-09-24 16:24:00+03','003',-2,2.5,FALSE),</t>
  </si>
  <si>
    <t>('2dd0b397-cc78-415c-8582-0619dfeba008','2024-09-26 16:24:00+03','00000000-0000-0000-0000-000000000000','2024-09-26 16:24:00+03','00000000-0000-0000-0000-000000000000',TRUE,'2024-09-26 16:24:00+03','003',-2,2.5,FALSE),</t>
  </si>
  <si>
    <t>('9449cb47-a8b9-40c4-a438-3dbcd1b17b49','2024-09-28 16:24:00+03','00000000-0000-0000-0000-000000000000','2024-09-28 16:24:00+03','00000000-0000-0000-0000-000000000000',TRUE,'2024-09-28 16:24:00+03','003',-2,2.5,FALSE),</t>
  </si>
  <si>
    <t>('0d417f6c-65f9-4df0-baa0-a9fd7b8d7aed','2024-10-01 16:24:00+04','00000000-0000-0000-0000-000000000000','2024-10-01 16:24:00+04','00000000-0000-0000-0000-000000000000',TRUE,'2024-10-01 16:24:00+04','003',-2,2.5,FALSE),</t>
  </si>
  <si>
    <t>('4b59ee2d-1080-4631-a7d6-d961434448da','2024-10-03 16:24:00+04','00000000-0000-0000-0000-000000000000','2024-10-03 16:24:00+04','00000000-0000-0000-0000-000000000000',TRUE,'2024-10-03 16:24:00+04','003',-2,2.5,FALSE),</t>
  </si>
  <si>
    <t>('2a7b8453-cec4-4c41-bb47-d12678e6b6e4','2024-10-05 16:24:00+04','00000000-0000-0000-0000-000000000000','2024-10-05 16:24:00+04','00000000-0000-0000-0000-000000000000',TRUE,'2024-10-05 16:24:00+04','003',-2,2.5,FALSE),</t>
  </si>
  <si>
    <t>49082/54</t>
  </si>
  <si>
    <t>3100800257727</t>
  </si>
  <si>
    <t>1250500084692</t>
  </si>
  <si>
    <t>3360100764683</t>
  </si>
  <si>
    <t>3251000314521</t>
  </si>
  <si>
    <t>3251100436629</t>
  </si>
  <si>
    <t>3209900248972</t>
  </si>
  <si>
    <t>1259700118769</t>
  </si>
  <si>
    <t>3200101356962</t>
  </si>
  <si>
    <t>3140100082339</t>
  </si>
  <si>
    <t>2270100001500</t>
  </si>
  <si>
    <t>5301700031064</t>
  </si>
  <si>
    <t>3200700272537</t>
  </si>
  <si>
    <t>3710500143011</t>
  </si>
  <si>
    <t>3259900149575</t>
  </si>
  <si>
    <t>3250100583388</t>
  </si>
  <si>
    <t>3251000141325</t>
  </si>
  <si>
    <t>1250400165950</t>
  </si>
  <si>
    <t>5270500000980</t>
  </si>
  <si>
    <t>3250500209131</t>
  </si>
  <si>
    <t>3310800115203</t>
  </si>
  <si>
    <t>1250500092211</t>
  </si>
  <si>
    <t>3190400117545</t>
  </si>
  <si>
    <t>3209600196055</t>
  </si>
  <si>
    <t>3190100267207</t>
  </si>
  <si>
    <t>1470800109001</t>
  </si>
  <si>
    <t>3720600070342</t>
  </si>
  <si>
    <t>3250500193331</t>
  </si>
  <si>
    <t>3250200554428</t>
  </si>
  <si>
    <t>5130199018677</t>
  </si>
  <si>
    <t>3259700104471</t>
  </si>
  <si>
    <t>2025-06-17 03:00:05.236692+00</t>
  </si>
  <si>
    <t>('b25379c3-dc0d-4791-b222-a6354fa53b5d','2025-06-17 03:00:05.236692+00','866dabc4-6501-44d2-a0e5-65da9c45a46e','2025-06-17 03:00:05.236692+00','866dabc4-6501-44d2-a0e5-65da9c45a46e',TRUE,6505315,FALSE,3,34,23,'4:05:00'),</t>
  </si>
  <si>
    <t>('3e8b2a4d-f06c-4b74-873a-6a1f56e9b5df','2025-06-17 03:00:05.236692+00','866dabc4-6501-44d2-a0e5-65da9c45a46e','2025-06-17 03:00:05.236692+00','866dabc4-6501-44d2-a0e5-65da9c45a46e',TRUE,6455308,FALSE,3,34,23,'4:05:00'),</t>
  </si>
  <si>
    <t>('f9b4d3c2-7a59-4b1a-89b0-14a3c04bfae2','2025-06-17 03:00:05.236692+00','866dabc4-6501-44d2-a0e5-65da9c45a46e','2025-06-17 03:00:05.236692+00','866dabc4-6501-44d2-a0e5-65da9c45a46e',TRUE,6508733,FALSE,3,34,23,'4:05:00'),</t>
  </si>
  <si>
    <t>('2c4a8f97-3d71-40e7-a8c4-28bcbfc23b35','2025-06-17 03:00:05.236692+00','866dabc4-6501-44d2-a0e5-65da9c45a46e','2025-06-17 03:00:05.236692+00','866dabc4-6501-44d2-a0e5-65da9c45a46e',TRUE,6512620,FALSE,3,34,23,'4:05:00'),</t>
  </si>
  <si>
    <t>('7b152e30-0c4f-41d1-a637-84ebad5a8579','2025-06-17 03:00:05.236692+00','866dabc4-6501-44d2-a0e5-65da9c45a46e','2025-06-17 03:00:05.236692+00','866dabc4-6501-44d2-a0e5-65da9c45a46e',TRUE,6300865,FALSE,3,34,23,'4:05:00'),</t>
  </si>
  <si>
    <t>('94d93217-19d0-43c5-b0da-8c4a3741c771','2025-06-17 03:00:05.236692+00','866dabc4-6501-44d2-a0e5-65da9c45a46e','2025-06-17 03:00:05.236692+00','866dabc4-6501-44d2-a0e5-65da9c45a46e',TRUE,6519635,FALSE,3,34,23,'4:05:00'),</t>
  </si>
  <si>
    <t>('c3e452d6-6f1e-4b9d-8c68-5f24d0e73945','2025-06-17 03:00:05.236692+00','866dabc4-6501-44d2-a0e5-65da9c45a46e','2025-06-17 03:00:05.236692+00','866dabc4-6501-44d2-a0e5-65da9c45a46e',TRUE,6521515,FALSE,3,34,23,'4:05:00'),</t>
  </si>
  <si>
    <t>('67f8239d-a7ea-4efb-b14c-6b8c8e64bcd4','2025-06-17 03:00:05.236692+00','866dabc4-6501-44d2-a0e5-65da9c45a46e','2025-06-17 03:00:05.236692+00','866dabc4-6501-44d2-a0e5-65da9c45a46e',TRUE,6521637,FALSE,3,34,23,'4:05:00'),</t>
  </si>
  <si>
    <t>('d5294cb9-3161-4149-8f02-89f3f9f7d6b4','2025-06-17 03:00:05.236692+00','866dabc4-6501-44d2-a0e5-65da9c45a46e','2025-06-17 03:00:05.236692+00','866dabc4-6501-44d2-a0e5-65da9c45a46e',TRUE,49082/54,FALSE,3,34,23,'4:05:00'),</t>
  </si>
  <si>
    <t>('b5c2a478-fb4e-43d5-b601-c426fb8a906c','2025-06-17 03:00:05.236692+00','866dabc4-6501-44d2-a0e5-65da9c45a46e','2025-06-17 03:00:05.236692+00','866dabc4-6501-44d2-a0e5-65da9c45a46e',TRUE,6602502,FALSE,3,34,23,'4:05:00'),</t>
  </si>
  <si>
    <t>('1d5e0a8b-76f7-46cd-9e47-2eb7f98f47e2','2025-06-17 03:00:05.236692+00','866dabc4-6501-44d2-a0e5-65da9c45a46e','2025-06-17 03:00:05.236692+00','866dabc4-6501-44d2-a0e5-65da9c45a46e',TRUE,6603132,FALSE,3,34,23,'4:05:00'),</t>
  </si>
  <si>
    <t>('a09c56df-c477-4a3f-a905-7392d3f6cb4f','2025-06-17 03:00:05.236692+00','866dabc4-6501-44d2-a0e5-65da9c45a46e','2025-06-17 03:00:05.236692+00','866dabc4-6501-44d2-a0e5-65da9c45a46e',TRUE,5333974,FALSE,3,34,23,'4:05:00'),</t>
  </si>
  <si>
    <t>('5c1f407e-46b8-4092-8be1-22708b3e3d3b','2025-06-17 03:00:05.236692+00','866dabc4-6501-44d2-a0e5-65da9c45a46e','2025-06-17 03:00:05.236692+00','866dabc4-6501-44d2-a0e5-65da9c45a46e',TRUE,213860,FALSE,3,34,23,'4:05:00'),</t>
  </si>
  <si>
    <t>('e3b9f574-66f6-4021-a26d-7cb5b9f77d3b','2025-06-17 03:00:05.236692+00','866dabc4-6501-44d2-a0e5-65da9c45a46e','2025-06-17 03:00:05.236692+00','866dabc4-6501-44d2-a0e5-65da9c45a46e',TRUE,48324,FALSE,3,34,23,'4:05:00'),</t>
  </si>
  <si>
    <t>('33a8c5f4-d2fc-4f67-8a43-2fb2c9d826d4','2025-06-17 03:00:05.236692+00','866dabc4-6501-44d2-a0e5-65da9c45a46e','2025-06-17 03:00:05.236692+00','866dabc4-6501-44d2-a0e5-65da9c45a46e',TRUE,670001117,FALSE,3,34,23,'4:05:00'),</t>
  </si>
  <si>
    <t>('b7ef23c9-043e-4a47-a68f-7123f9a27584','2025-06-17 03:00:05.236692+00','866dabc4-6501-44d2-a0e5-65da9c45a46e','2025-06-17 03:00:05.236692+00','866dabc4-6501-44d2-a0e5-65da9c45a46e',TRUE,6701952,FALSE,3,34,23,'4:05:00'),</t>
  </si>
  <si>
    <t>('728de94d-48b4-4cf3-a10b-0f75cde7b7d6','2025-06-17 03:00:05.236692+00','866dabc4-6501-44d2-a0e5-65da9c45a46e','2025-06-17 03:00:05.236692+00','866dabc4-6501-44d2-a0e5-65da9c45a46e',TRUE,6702221,FALSE,3,34,23,'4:05:00'),</t>
  </si>
  <si>
    <t>('196c3eb2-62ff-4568-9311-7cd24b1e5d92','2025-06-17 03:00:05.236692+00','866dabc4-6501-44d2-a0e5-65da9c45a46e','2025-06-17 03:00:05.236692+00','866dabc4-6501-44d2-a0e5-65da9c45a46e',TRUE,67030106,FALSE,3,34,23,'4:05:00'),</t>
  </si>
  <si>
    <t>('c1bfa478-7ea9-44cd-8fd3-1a4d9f0c8e37','2025-06-17 03:00:05.236692+00','866dabc4-6501-44d2-a0e5-65da9c45a46e','2025-06-17 03:00:05.236692+00','866dabc4-6501-44d2-a0e5-65da9c45a46e',TRUE,184706,FALSE,3,34,23,'4:05:00'),</t>
  </si>
  <si>
    <t>('2e0f95c1-8bda-40d9-8497-5fd5cdce7284','2025-06-17 03:00:05.236692+00','866dabc4-6501-44d2-a0e5-65da9c45a46e','2025-06-17 03:00:05.236692+00','866dabc4-6501-44d2-a0e5-65da9c45a46e',TRUE,530323,FALSE,3,34,23,'4:05:00'),</t>
  </si>
  <si>
    <t>('0f34b8c9-5293-4c45-b2a4-8e2d7f8dcb36','2025-06-17 03:00:05.236692+00','866dabc4-6501-44d2-a0e5-65da9c45a46e','2025-06-17 03:00:05.236692+00','866dabc4-6501-44d2-a0e5-65da9c45a46e',TRUE,6706476,FALSE,3,34,23,'4:05:00'),</t>
  </si>
  <si>
    <t>('84b9c3f2-1a05-42e7-911d-4e5c2a7d4b92','2025-06-17 03:00:05.236692+00','866dabc4-6501-44d2-a0e5-65da9c45a46e','2025-06-17 03:00:05.236692+00','866dabc4-6501-44d2-a0e5-65da9c45a46e',TRUE,361343,FALSE,3,34,23,'4:05:00'),</t>
  </si>
  <si>
    <t>('7a9d82e3-67f5-41f9-b3c8-2a4f5e0d7b91','2025-06-17 03:00:05.236692+00','866dabc4-6501-44d2-a0e5-65da9c45a46e','2025-06-17 03:00:05.236692+00','866dabc4-6501-44d2-a0e5-65da9c45a46e',TRUE,6705071,FALSE,3,34,23,'4:05:00'),</t>
  </si>
  <si>
    <t>('461c8f7b-b9e2-4e37-95a8-1d74f93a6c85','2025-06-17 03:00:05.236692+00','866dabc4-6501-44d2-a0e5-65da9c45a46e','2025-06-17 03:00:05.236692+00','866dabc4-6501-44d2-a0e5-65da9c45a46e',TRUE,6706961,FALSE,3,34,23,'4:05:00'),</t>
  </si>
  <si>
    <t>('d72f48a9-8b63-4f8d-847c-3a5b0c1e9f62','2025-06-17 03:00:05.236692+00','866dabc4-6501-44d2-a0e5-65da9c45a46e','2025-06-17 03:00:05.236692+00','866dabc4-6501-44d2-a0e5-65da9c45a46e',TRUE,6800002,FALSE,3,34,23,'4:05:00'),</t>
  </si>
  <si>
    <t>('5e8b1a3c-9f47-4d2b-b8e7-a31c5d7f2b64','2025-06-17 03:00:05.236692+00','866dabc4-6501-44d2-a0e5-65da9c45a46e','2025-06-17 03:00:05.236692+00','866dabc4-6501-44d2-a0e5-65da9c45a46e',TRUE,6800776,FALSE,3,34,23,'4:05:00'),</t>
  </si>
  <si>
    <t>('d2c4a7f9-3b81-401e-92d8-4c75b8e36f12','2025-06-17 03:00:05.236692+00','866dabc4-6501-44d2-a0e5-65da9c45a46e','2025-06-17 03:00:05.236692+00','866dabc4-6501-44d2-a0e5-65da9c45a46e',TRUE,6802616,FALSE,3,34,23,'4:05:00'),</t>
  </si>
  <si>
    <t>('8f4d23a7-6e91-4c5b-b2c9-71d5f38a0e57','2025-06-17 03:00:05.236692+00','866dabc4-6501-44d2-a0e5-65da9c45a46e','2025-06-17 03:00:05.236692+00','866dabc4-6501-44d2-a0e5-65da9c45a46e',TRUE,6802588,FALSE,3,34,23,'4:05:00'),</t>
  </si>
  <si>
    <t>('a3b72e91-5d48-4c9f-81f7-2d0c6b4a5e38','2025-06-17 03:00:05.236692+00','866dabc4-6501-44d2-a0e5-65da9c45a46e','2025-06-17 03:00:05.236692+00','866dabc4-6501-44d2-a0e5-65da9c45a46e',TRUE,6411508,FALSE,3,34,23,'4:05:00'),</t>
  </si>
  <si>
    <t>('5e8b1a3c-9f47-4d2b-b8e7-a31c5d7f2b65','2025-06-17 03:00:05.236692+00','866dabc4-6501-44d2-a0e5-65da9c45a46e','2025-06-17 03:00:05.236692+00','866dabc4-6501-44d2-a0e5-65da9c45a46e',TRUE,6802740,FALSE,3,34,23,'4:05:00'),</t>
  </si>
  <si>
    <t>CategoryId</t>
  </si>
  <si>
    <t>UsageWays</t>
  </si>
  <si>
    <t>DoseAmount</t>
  </si>
  <si>
    <t>MedType</t>
  </si>
  <si>
    <t>Name</t>
  </si>
  <si>
    <t>Code</t>
  </si>
  <si>
    <t>PieceUnit</t>
  </si>
  <si>
    <t>Barcode</t>
  </si>
  <si>
    <t>Image</t>
  </si>
  <si>
    <t>BINOCRIT</t>
  </si>
  <si>
    <t>EPOTIV</t>
  </si>
  <si>
    <t>EPREX</t>
  </si>
  <si>
    <t>ESPOGEN (LIFE Sci)</t>
  </si>
  <si>
    <t>HEMAX</t>
  </si>
  <si>
    <t>RECORMON</t>
  </si>
  <si>
    <t>(1,'866dabc4-6501-44d2-a0e5-65da9c45a46e',TRUE,0,0,'BINOCRIT'),</t>
  </si>
  <si>
    <t>(2,'866dabc4-6501-44d2-a0e5-65da9c45a46e',TRUE,0,0,'EPOTIV'),</t>
  </si>
  <si>
    <t>(3,'866dabc4-6501-44d2-a0e5-65da9c45a46e',TRUE,0,0,'EPREX'),</t>
  </si>
  <si>
    <t>(4,'866dabc4-6501-44d2-a0e5-65da9c45a46e',TRUE,0,0,'ESPOGEN (LIFE Sci)'),</t>
  </si>
  <si>
    <t>(5,'866dabc4-6501-44d2-a0e5-65da9c45a46e',TRUE,0,0,'HEMAX'),</t>
  </si>
  <si>
    <t>(6,'866dabc4-6501-44d2-a0e5-65da9c45a46e',TRUE,0,0,'RECORMON');</t>
  </si>
  <si>
    <t>อัลบัส</t>
  </si>
  <si>
    <t>ดัมเบิลดอร์</t>
  </si>
  <si>
    <t>AlbusDumbledore@hw.com</t>
  </si>
  <si>
    <t>มิเนอร์ว่า</t>
  </si>
  <si>
    <t>มักกอนนากัล</t>
  </si>
  <si>
    <t>MinervaMcGonagall@hw.com</t>
  </si>
  <si>
    <t>เซเวอรัส</t>
  </si>
  <si>
    <t>สเนป</t>
  </si>
  <si>
    <t>SeverusSnape@hw.com</t>
  </si>
  <si>
    <t>ab01</t>
  </si>
  <si>
    <t>AB01</t>
  </si>
  <si>
    <t>mm02</t>
  </si>
  <si>
    <t>MM02</t>
  </si>
  <si>
    <t>SS03</t>
  </si>
  <si>
    <t>ss03</t>
  </si>
  <si>
    <t>รูเบอัส</t>
  </si>
  <si>
    <t>แฮกริด</t>
  </si>
  <si>
    <t>RubeusHagrid@hw.com</t>
  </si>
  <si>
    <t>รีมัส</t>
  </si>
  <si>
    <t>ลูปิน</t>
  </si>
  <si>
    <t>rh04</t>
  </si>
  <si>
    <t>RH04</t>
  </si>
  <si>
    <t>rl05</t>
  </si>
  <si>
    <t>RL05</t>
  </si>
  <si>
    <t>RemusLupin@hw.com</t>
  </si>
  <si>
    <t>ซิเรียส</t>
  </si>
  <si>
    <t>แบล็ก</t>
  </si>
  <si>
    <t>sb06</t>
  </si>
  <si>
    <t>SB06</t>
  </si>
  <si>
    <t>SiriusBlack@hw.com</t>
  </si>
  <si>
    <t>กิลเดอรอย</t>
  </si>
  <si>
    <t>ล็อกฮาร์ต</t>
  </si>
  <si>
    <t>GilderoyLockhart@hw.com</t>
  </si>
  <si>
    <t>gl07</t>
  </si>
  <si>
    <t>GL07</t>
  </si>
  <si>
    <t>ฮอเรซ</t>
  </si>
  <si>
    <t>สลักฮอร์น</t>
  </si>
  <si>
    <t>HoraceSlughorn@hw.com</t>
  </si>
  <si>
    <t>hs08</t>
  </si>
  <si>
    <t>HS08</t>
  </si>
  <si>
    <t>ซิบิลล์</t>
  </si>
  <si>
    <t>ทรีลอว์นีย์</t>
  </si>
  <si>
    <t>SybillTrelawney@hw.com</t>
  </si>
  <si>
    <t>st09</t>
  </si>
  <si>
    <t>ST09</t>
  </si>
  <si>
    <t>ฟีลิอุส</t>
  </si>
  <si>
    <t>ฟลิตวิก</t>
  </si>
  <si>
    <t>ff10</t>
  </si>
  <si>
    <t>FF10</t>
  </si>
  <si>
    <t>FiliusFlitwick@hw.com</t>
  </si>
  <si>
    <t>อาร์กัส</t>
  </si>
  <si>
    <t>ฟิลช์</t>
  </si>
  <si>
    <t>ArgusFilch@hw.com</t>
  </si>
  <si>
    <t>af11</t>
  </si>
  <si>
    <t>AF11</t>
  </si>
  <si>
    <t>มาดาม</t>
  </si>
  <si>
    <t>พอมฟรีย์</t>
  </si>
  <si>
    <t>mp12</t>
  </si>
  <si>
    <t>MP12</t>
  </si>
  <si>
    <t>MadamPomfrey@hw.com</t>
  </si>
  <si>
    <t>eb8ed330-f3ab-4966-993c-2245653e075e</t>
  </si>
  <si>
    <t>ee44cb44-8886-4193-9a02-53fdad80e46e</t>
  </si>
  <si>
    <t>7d26cfab-fb31-41cc-a4ea-29e610568be3</t>
  </si>
  <si>
    <t>2025-03-13 06:42:29.455616+01</t>
  </si>
  <si>
    <t>2025-03-13 06:40:04.332113+01</t>
  </si>
  <si>
    <t>2025-03-13 06:43:21.662104+01</t>
  </si>
  <si>
    <t>2025-03-13 06:40:15.952421+01</t>
  </si>
  <si>
    <t>2025-03-13 06:43:27.83884+01</t>
  </si>
  <si>
    <t>0f171fd4-1e5a-4e61-b255-0eff804cf6be</t>
  </si>
  <si>
    <t>1a7f70e8-f02d-485e-aa9a-42bb5c4073d5</t>
  </si>
  <si>
    <t>ed158529-1772-4e9d-9b1e-9b5ea4e62424</t>
  </si>
  <si>
    <t>a0980814-1ec8-4151-8293-ed6ebe64a596</t>
  </si>
  <si>
    <t>ec227798-704d-47a5-83f0-c3e303e03477</t>
  </si>
  <si>
    <t>ecf05ebb-806c-447e-b734-d21ddba3e484</t>
  </si>
  <si>
    <t>a109bb70-04c3-448a-9312-b63c96352252</t>
  </si>
  <si>
    <t>bc2e951a-fe6d-420c-80e3-11f7428e872d</t>
  </si>
  <si>
    <t>5080a050-ed36-4457-9981-4303362547ed</t>
  </si>
  <si>
    <t>c6052a39-0d46-4c59-ad41-269c25de9559</t>
  </si>
  <si>
    <t>2fc4e9cf-e05c-4a72-b1b8-b443908c11b2</t>
  </si>
  <si>
    <t>8bff6968-5f4b-49be-a180-c8eba9848ddb</t>
  </si>
  <si>
    <t>แฮร์รี่ พอตเตอร์</t>
  </si>
  <si>
    <t>เฮอร์ไมโอนี่ เกรนเจอร์</t>
  </si>
  <si>
    <t>รอน วีสลีย์</t>
  </si>
  <si>
    <t>จินนี่ วีสลีย์</t>
  </si>
  <si>
    <t>เฟร็ด วีสลีย์</t>
  </si>
  <si>
    <t>จอร์จ วีสลีย์</t>
  </si>
  <si>
    <t>เพอร์ซี่ วีสลีย์</t>
  </si>
  <si>
    <t>อาเธอร์ วีสลีย์</t>
  </si>
  <si>
    <t>มอลลี่ วีสลีย์</t>
  </si>
  <si>
    <t>เนวิลล์ ลองบัตท่อม</t>
  </si>
  <si>
    <t>ลูน่า เลิฟกู๊ด</t>
  </si>
  <si>
    <t>โช แชง</t>
  </si>
  <si>
    <t>ดัดลีย์ เดอร์สลีย์</t>
  </si>
  <si>
    <t>เวอร์นอน เดอร์สลีย์</t>
  </si>
  <si>
    <t>เพทูเนีย เดอร์สลีย์</t>
  </si>
  <si>
    <t>ลอร์ดโวลเดอมอร์</t>
  </si>
  <si>
    <t>เบลลาทริกซ์ เลสแตรงจ์</t>
  </si>
  <si>
    <t>ลูเซียส มัลฟอย</t>
  </si>
  <si>
    <t>เดรโก มัลฟอย</t>
  </si>
  <si>
    <t>นาร์ซิสซา มัลฟอย</t>
  </si>
  <si>
    <t>ปีเตอร์ เพ็ตติกรูว์</t>
  </si>
  <si>
    <t>เฟนเรียร์ เกรย์แบ็ค</t>
  </si>
  <si>
    <t>บาร์ทีเมียส เคราช์ จูเนียร์</t>
  </si>
  <si>
    <t>คอร์นีเลียส ฟัดจ์</t>
  </si>
  <si>
    <t>รูฟัส สคริมเจอร์</t>
  </si>
  <si>
    <t>โดโลเรส อัมบริดจ์</t>
  </si>
  <si>
    <t>กิลเดอรอย ล็อกฮาร์ต</t>
  </si>
  <si>
    <t>คิงส์ลีย์ ชัคเคิลโบลต์</t>
  </si>
  <si>
    <t>นิมฟาดอร่า ท็องก์ส</t>
  </si>
  <si>
    <t>มาด-อาย มู้ดดี้</t>
  </si>
  <si>
    <t>-2</t>
  </si>
  <si>
    <t>PID IdentityNo</t>
  </si>
  <si>
    <t>CoverageScheme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</si>
</sst>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49" fontId="0" fillId="0" borderId="0" xfId="0" applyNumberFormat="1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2" borderId="0" xfId="0" applyFill="1"/>
    <xf numFmtId="0" fontId="3" fillId="3" borderId="0" xfId="0" applyFont="1" applyFill="1"/>
    <xf numFmtId="0" fontId="6" fillId="3" borderId="0" xfId="0" applyFont="1" applyFill="1"/>
    <xf numFmtId="49" fontId="3" fillId="3" borderId="0" xfId="0" applyNumberFormat="1" applyFont="1" applyFill="1"/>
    <xf numFmtId="0" fontId="7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8" borderId="0" xfId="0" applyFill="1"/>
    <xf numFmtId="0" fontId="0" fillId="9" borderId="1" xfId="0" applyFill="1" applyBorder="1"/>
    <xf numFmtId="0" fontId="0" fillId="9" borderId="2" xfId="0" applyFill="1" applyBorder="1"/>
    <xf numFmtId="0" fontId="0" fillId="9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0" xfId="0" applyFill="1"/>
    <xf numFmtId="11" fontId="0" fillId="10" borderId="1" xfId="0" applyNumberFormat="1" applyFill="1" applyBorder="1"/>
    <xf numFmtId="11" fontId="0" fillId="0" borderId="0" xfId="0" applyNumberFormat="1"/>
    <xf numFmtId="0" fontId="0" fillId="4" borderId="1" xfId="0" applyFill="1" applyBorder="1"/>
    <xf numFmtId="0" fontId="1" fillId="4" borderId="1" xfId="0" applyFont="1" applyFill="1" applyBorder="1"/>
    <xf numFmtId="49" fontId="0" fillId="0" borderId="1" xfId="0" applyNumberFormat="1" applyBorder="1"/>
    <xf numFmtId="49" fontId="0" fillId="9" borderId="1" xfId="0" applyNumberFormat="1" applyFill="1" applyBorder="1"/>
    <xf numFmtId="49" fontId="0" fillId="10" borderId="1" xfId="0" applyNumberFormat="1" applyFill="1" applyBorder="1"/>
    <xf numFmtId="49" fontId="0" fillId="4" borderId="1" xfId="0" applyNumberFormat="1" applyFill="1" applyBorder="1"/>
    <xf numFmtId="49" fontId="1" fillId="4" borderId="1" xfId="0" applyNumberFormat="1" applyFont="1" applyFill="1" applyBorder="1"/>
    <xf numFmtId="0" fontId="0" fillId="11" borderId="1" xfId="0" applyFill="1" applyBorder="1"/>
    <xf numFmtId="49" fontId="0" fillId="7" borderId="0" xfId="0" applyNumberFormat="1" applyFill="1"/>
    <xf numFmtId="0" fontId="8" fillId="12" borderId="0" xfId="0" applyFont="1" applyFill="1"/>
    <xf numFmtId="49" fontId="8" fillId="12" borderId="0" xfId="0" applyNumberFormat="1" applyFont="1" applyFill="1"/>
    <xf numFmtId="0" fontId="0" fillId="13" borderId="0" xfId="0" applyFill="1"/>
    <xf numFmtId="49" fontId="0" fillId="13" borderId="0" xfId="0" applyNumberFormat="1" applyFill="1"/>
    <xf numFmtId="0" fontId="0" fillId="13" borderId="1" xfId="0" applyFill="1" applyBorder="1"/>
    <xf numFmtId="0" fontId="0" fillId="13" borderId="2" xfId="0" applyFill="1" applyBorder="1"/>
    <xf numFmtId="49" fontId="0" fillId="13" borderId="1" xfId="0" applyNumberFormat="1" applyFill="1" applyBorder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raceSlughorn@hw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everusSnape@hw.com" TargetMode="External"/><Relationship Id="rId7" Type="http://schemas.openxmlformats.org/officeDocument/2006/relationships/hyperlink" Target="mailto:GilderoyLockhart@hw.com" TargetMode="External"/><Relationship Id="rId12" Type="http://schemas.openxmlformats.org/officeDocument/2006/relationships/hyperlink" Target="mailto:MadamPomfrey@hw.com" TargetMode="External"/><Relationship Id="rId2" Type="http://schemas.openxmlformats.org/officeDocument/2006/relationships/hyperlink" Target="mailto:MinervaMcGonagall@hw.com" TargetMode="External"/><Relationship Id="rId1" Type="http://schemas.openxmlformats.org/officeDocument/2006/relationships/hyperlink" Target="mailto:AlbusDumbledore@hw.com" TargetMode="External"/><Relationship Id="rId6" Type="http://schemas.openxmlformats.org/officeDocument/2006/relationships/hyperlink" Target="mailto:SiriusBlack@hw.com" TargetMode="External"/><Relationship Id="rId11" Type="http://schemas.openxmlformats.org/officeDocument/2006/relationships/hyperlink" Target="mailto:ArgusFilch@hw.com" TargetMode="External"/><Relationship Id="rId5" Type="http://schemas.openxmlformats.org/officeDocument/2006/relationships/hyperlink" Target="mailto:RemusLupin@hw.com" TargetMode="External"/><Relationship Id="rId10" Type="http://schemas.openxmlformats.org/officeDocument/2006/relationships/hyperlink" Target="mailto:FiliusFlitwick@hw.com" TargetMode="External"/><Relationship Id="rId4" Type="http://schemas.openxmlformats.org/officeDocument/2006/relationships/hyperlink" Target="mailto:RubeusHagrid@hw.com" TargetMode="External"/><Relationship Id="rId9" Type="http://schemas.openxmlformats.org/officeDocument/2006/relationships/hyperlink" Target="mailto:SybillTrelawney@hw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oraceSlughorn@hw.com" TargetMode="External"/><Relationship Id="rId3" Type="http://schemas.openxmlformats.org/officeDocument/2006/relationships/hyperlink" Target="mailto:SeverusSnape@hw.com" TargetMode="External"/><Relationship Id="rId7" Type="http://schemas.openxmlformats.org/officeDocument/2006/relationships/hyperlink" Target="mailto:GilderoyLockhart@hw.com" TargetMode="External"/><Relationship Id="rId12" Type="http://schemas.openxmlformats.org/officeDocument/2006/relationships/hyperlink" Target="mailto:MadamPomfrey@hw.com" TargetMode="External"/><Relationship Id="rId2" Type="http://schemas.openxmlformats.org/officeDocument/2006/relationships/hyperlink" Target="mailto:MinervaMcGonagall@hw.com" TargetMode="External"/><Relationship Id="rId1" Type="http://schemas.openxmlformats.org/officeDocument/2006/relationships/hyperlink" Target="mailto:AlbusDumbledore@hw.com" TargetMode="External"/><Relationship Id="rId6" Type="http://schemas.openxmlformats.org/officeDocument/2006/relationships/hyperlink" Target="mailto:SiriusBlack@hw.com" TargetMode="External"/><Relationship Id="rId11" Type="http://schemas.openxmlformats.org/officeDocument/2006/relationships/hyperlink" Target="mailto:ArgusFilch@hw.com" TargetMode="External"/><Relationship Id="rId5" Type="http://schemas.openxmlformats.org/officeDocument/2006/relationships/hyperlink" Target="mailto:RemusLupin@hw.com" TargetMode="External"/><Relationship Id="rId10" Type="http://schemas.openxmlformats.org/officeDocument/2006/relationships/hyperlink" Target="mailto:FiliusFlitwick@hw.com" TargetMode="External"/><Relationship Id="rId4" Type="http://schemas.openxmlformats.org/officeDocument/2006/relationships/hyperlink" Target="mailto:RubeusHagrid@hw.com" TargetMode="External"/><Relationship Id="rId9" Type="http://schemas.openxmlformats.org/officeDocument/2006/relationships/hyperlink" Target="mailto:SybillTrelawney@hw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D30A-C68C-4AE6-8414-4BE350F240E7}">
  <sheetPr>
    <tabColor rgb="FF00B050"/>
  </sheetPr>
  <dimension ref="A1:V14"/>
  <sheetViews>
    <sheetView zoomScale="80" zoomScaleNormal="80" workbookViewId="0">
      <selection activeCell="B18" sqref="B18"/>
    </sheetView>
  </sheetViews>
  <sheetFormatPr defaultRowHeight="15" x14ac:dyDescent="0.25"/>
  <cols>
    <col min="1" max="1" width="41.28515625" bestFit="1" customWidth="1"/>
    <col min="2" max="2" width="14.140625" bestFit="1" customWidth="1"/>
    <col min="3" max="3" width="12.85546875" bestFit="1" customWidth="1"/>
    <col min="4" max="4" width="13.85546875" bestFit="1" customWidth="1"/>
    <col min="5" max="5" width="14.7109375" customWidth="1"/>
    <col min="6" max="6" width="12.5703125" style="1" bestFit="1" customWidth="1"/>
    <col min="7" max="7" width="12.42578125" bestFit="1" customWidth="1"/>
    <col min="8" max="8" width="23.42578125" customWidth="1"/>
    <col min="9" max="9" width="34" customWidth="1"/>
    <col min="10" max="10" width="15.140625" customWidth="1"/>
    <col min="11" max="11" width="17.7109375" style="1" bestFit="1" customWidth="1"/>
    <col min="12" max="12" width="102.85546875" bestFit="1" customWidth="1"/>
    <col min="13" max="13" width="40.7109375" bestFit="1" customWidth="1"/>
    <col min="14" max="14" width="41" bestFit="1" customWidth="1"/>
    <col min="15" max="15" width="6.140625" customWidth="1"/>
    <col min="16" max="16" width="9.7109375" style="1" customWidth="1"/>
    <col min="17" max="17" width="6.7109375" customWidth="1"/>
    <col min="18" max="18" width="8.85546875" customWidth="1"/>
    <col min="19" max="19" width="17.42578125" style="1" bestFit="1" customWidth="1"/>
    <col min="20" max="20" width="20.7109375" bestFit="1" customWidth="1"/>
    <col min="21" max="21" width="9.140625" hidden="1" customWidth="1"/>
    <col min="22" max="22" width="255.7109375" style="6" bestFit="1" customWidth="1"/>
    <col min="23" max="23" width="20.140625" customWidth="1"/>
  </cols>
  <sheetData>
    <row r="1" spans="1:22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4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4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4" t="s">
        <v>31</v>
      </c>
      <c r="Q1" s="3" t="s">
        <v>32</v>
      </c>
      <c r="R1" s="3" t="s">
        <v>33</v>
      </c>
      <c r="S1" s="4" t="s">
        <v>34</v>
      </c>
      <c r="T1" s="3" t="s">
        <v>35</v>
      </c>
      <c r="V1" s="5" t="s">
        <v>36</v>
      </c>
    </row>
    <row r="2" spans="1:22" x14ac:dyDescent="0.25">
      <c r="A2" t="s">
        <v>38</v>
      </c>
      <c r="B2" t="s">
        <v>37</v>
      </c>
      <c r="C2" t="s">
        <v>819</v>
      </c>
      <c r="D2" t="s">
        <v>820</v>
      </c>
      <c r="E2" t="s">
        <v>37</v>
      </c>
      <c r="F2" t="b">
        <v>0</v>
      </c>
      <c r="G2" t="s">
        <v>828</v>
      </c>
      <c r="H2" t="s">
        <v>829</v>
      </c>
      <c r="I2" s="42" t="s">
        <v>821</v>
      </c>
      <c r="J2" t="s">
        <v>37</v>
      </c>
      <c r="K2" t="b">
        <v>0</v>
      </c>
      <c r="L2" t="s">
        <v>39</v>
      </c>
      <c r="M2" t="s">
        <v>40</v>
      </c>
      <c r="N2" t="s">
        <v>41</v>
      </c>
      <c r="O2" t="s">
        <v>37</v>
      </c>
      <c r="P2" t="b">
        <v>0</v>
      </c>
      <c r="Q2" t="b">
        <v>0</v>
      </c>
      <c r="R2" t="s">
        <v>37</v>
      </c>
      <c r="S2" t="b">
        <v>1</v>
      </c>
      <c r="T2">
        <v>0</v>
      </c>
      <c r="V2" s="6" t="str">
        <f>_xlfn.CONCAT("('",Users!A2,"','",C2,"','",D2,"',",F2,",'",G2,"','",H2,"',",K2,",'",L2,"','",M2,"','",N2,"',",P2,",",Q2,",",S2,",",T2,"),")</f>
        <v>('4dbc7800-d343-4d6e-ab27-a7706b0cd126','อัลบัส','ดัมเบิลดอร์',FALSE,'ab01','AB01',FALSE,'AQAAAAEAACcQAAAAEGEZl8LrZ8xv31BTdWZ+mtvxkRDq2XHbjXphN44J+/QjS9MKKvTc0c+ieaG9C4NBTg==','5F6FHQGLKMHYTFQLDDCIDTITVVTNNGVX','0dc239e5-41eb-4767-bbf4-aff5a0617e2f',FALSE,FALSE,TRUE,0),</v>
      </c>
    </row>
    <row r="3" spans="1:22" x14ac:dyDescent="0.25">
      <c r="A3" t="s">
        <v>146</v>
      </c>
      <c r="B3" t="s">
        <v>37</v>
      </c>
      <c r="C3" t="s">
        <v>822</v>
      </c>
      <c r="D3" t="s">
        <v>823</v>
      </c>
      <c r="E3" t="s">
        <v>37</v>
      </c>
      <c r="F3" t="b">
        <v>0</v>
      </c>
      <c r="G3" t="s">
        <v>830</v>
      </c>
      <c r="H3" t="s">
        <v>831</v>
      </c>
      <c r="I3" s="42" t="s">
        <v>824</v>
      </c>
      <c r="J3" t="s">
        <v>37</v>
      </c>
      <c r="K3" t="b">
        <v>0</v>
      </c>
      <c r="L3" t="s">
        <v>154</v>
      </c>
      <c r="M3" t="s">
        <v>162</v>
      </c>
      <c r="N3" t="s">
        <v>170</v>
      </c>
      <c r="O3" t="s">
        <v>37</v>
      </c>
      <c r="P3" t="b">
        <v>0</v>
      </c>
      <c r="Q3" t="b">
        <v>0</v>
      </c>
      <c r="R3" t="s">
        <v>37</v>
      </c>
      <c r="S3" t="b">
        <v>1</v>
      </c>
      <c r="T3">
        <v>0</v>
      </c>
      <c r="V3" s="6" t="str">
        <f>_xlfn.CONCAT("('",Users!A3,"','",C3,"','",D3,"',",F3,",'",G3,"','",H3,"',",K3,",'",L3,"','",M3,"','",N3,"',",P3,",",Q3,",",S3,",",T3,"),")</f>
        <v>('ee7268d6-3012-4918-ad50-df59ac091c9d','มิเนอร์ว่า','มักกอนนากัล',FALSE,'mm02','MM02',FALSE,'AQAAAAEAACcQAAAAECLgwpQBrwoMBrr9nWwzagGyGzRAj0KLbjTIYZgidQ1bmGFGTq1tZbOIlA9gc8vvrQ==','X6NMOGQCLAIU2MNAUBF6JL7MDIMRMLEI','932124df-b3f0-4af3-bc5a-ff59a6165196',FALSE,FALSE,TRUE,0),</v>
      </c>
    </row>
    <row r="4" spans="1:22" x14ac:dyDescent="0.25">
      <c r="A4" t="s">
        <v>147</v>
      </c>
      <c r="B4" t="s">
        <v>37</v>
      </c>
      <c r="C4" t="s">
        <v>825</v>
      </c>
      <c r="D4" t="s">
        <v>826</v>
      </c>
      <c r="E4" t="s">
        <v>37</v>
      </c>
      <c r="F4" t="b">
        <v>0</v>
      </c>
      <c r="G4" t="s">
        <v>833</v>
      </c>
      <c r="H4" t="s">
        <v>832</v>
      </c>
      <c r="I4" s="42" t="s">
        <v>827</v>
      </c>
      <c r="J4" t="s">
        <v>37</v>
      </c>
      <c r="K4" t="b">
        <v>0</v>
      </c>
      <c r="L4" t="s">
        <v>155</v>
      </c>
      <c r="M4" t="s">
        <v>163</v>
      </c>
      <c r="N4" t="s">
        <v>171</v>
      </c>
      <c r="O4" t="s">
        <v>37</v>
      </c>
      <c r="P4" t="b">
        <v>0</v>
      </c>
      <c r="Q4" t="b">
        <v>0</v>
      </c>
      <c r="R4" t="s">
        <v>37</v>
      </c>
      <c r="S4" t="b">
        <v>1</v>
      </c>
      <c r="T4">
        <v>0</v>
      </c>
      <c r="V4" s="6" t="str">
        <f>_xlfn.CONCAT("('",Users!A4,"','",C4,"','",D4,"',",F4,",'",G4,"','",H4,"',",K4,",'",L4,"','",M4,"','",N4,"',",P4,",",Q4,",",S4,",",T4,"),")</f>
        <v>('258a7d9f-5fa7-4eae-8d31-bb7f64d35a79','เซเวอรัส','สเนป',FALSE,'ss03','SS03',FALSE,'AQAAAAEAACcQAAAAEDvIyA3NZIWUkhnOuDJm2BF8i6yZQaI3wQBk6anHwe/zbWorI9sqbXa3lHdE9slJiA==','YE5UAFKK47JOJQHX7O6B2AJDPWCCUBKY','e2dee0f0-defb-47d4-bfb1-6b9d4ad148ce',FALSE,FALSE,TRUE,0),</v>
      </c>
    </row>
    <row r="5" spans="1:22" x14ac:dyDescent="0.25">
      <c r="A5" t="s">
        <v>148</v>
      </c>
      <c r="B5" t="s">
        <v>37</v>
      </c>
      <c r="C5" t="s">
        <v>834</v>
      </c>
      <c r="D5" t="s">
        <v>835</v>
      </c>
      <c r="E5" t="s">
        <v>37</v>
      </c>
      <c r="F5" t="b">
        <v>0</v>
      </c>
      <c r="G5" t="s">
        <v>839</v>
      </c>
      <c r="H5" t="s">
        <v>840</v>
      </c>
      <c r="I5" s="42" t="s">
        <v>836</v>
      </c>
      <c r="J5" t="s">
        <v>37</v>
      </c>
      <c r="K5" t="b">
        <v>0</v>
      </c>
      <c r="L5" t="s">
        <v>156</v>
      </c>
      <c r="M5" t="s">
        <v>164</v>
      </c>
      <c r="N5" t="s">
        <v>172</v>
      </c>
      <c r="O5" t="s">
        <v>37</v>
      </c>
      <c r="P5" t="b">
        <v>0</v>
      </c>
      <c r="Q5" t="b">
        <v>0</v>
      </c>
      <c r="R5" t="s">
        <v>37</v>
      </c>
      <c r="S5" t="b">
        <v>1</v>
      </c>
      <c r="T5">
        <v>0</v>
      </c>
      <c r="V5" s="6" t="str">
        <f>_xlfn.CONCAT("('",Users!A5,"','",C5,"','",D5,"',",F5,",'",G5,"','",H5,"',",K5,",'",L5,"','",M5,"','",N5,"',",P5,",",Q5,",",S5,",",T5,"),")</f>
        <v>('4875d3e5-9a6d-41c5-b3d5-7b4359c1baad','รูเบอัส','แฮกริด',FALSE,'rh04','RH04',FALSE,'AQAAAAEAACcQAAAAEDhiJSuDkGzdWrq402YkvxcwBxE3jeEZdK6SXGrk8TR0Phwns7ebXrT8pNbl093vwQ==','BH5B6OVVFSHLRXMHBMSZQ77S53ZROUTF','14cb475e-6963-4546-bfa2-e2bab482003b',FALSE,FALSE,TRUE,0),</v>
      </c>
    </row>
    <row r="6" spans="1:22" x14ac:dyDescent="0.25">
      <c r="A6" t="s">
        <v>149</v>
      </c>
      <c r="B6" t="s">
        <v>37</v>
      </c>
      <c r="C6" t="s">
        <v>837</v>
      </c>
      <c r="D6" t="s">
        <v>838</v>
      </c>
      <c r="E6" t="s">
        <v>37</v>
      </c>
      <c r="F6" t="b">
        <v>0</v>
      </c>
      <c r="G6" t="s">
        <v>841</v>
      </c>
      <c r="H6" t="s">
        <v>842</v>
      </c>
      <c r="I6" s="42" t="s">
        <v>843</v>
      </c>
      <c r="J6" t="s">
        <v>37</v>
      </c>
      <c r="K6" t="b">
        <v>0</v>
      </c>
      <c r="L6" t="s">
        <v>157</v>
      </c>
      <c r="M6" t="s">
        <v>165</v>
      </c>
      <c r="N6" t="s">
        <v>173</v>
      </c>
      <c r="O6" t="s">
        <v>37</v>
      </c>
      <c r="P6" t="b">
        <v>0</v>
      </c>
      <c r="Q6" t="b">
        <v>0</v>
      </c>
      <c r="R6" t="s">
        <v>37</v>
      </c>
      <c r="S6" t="b">
        <v>1</v>
      </c>
      <c r="T6">
        <v>0</v>
      </c>
      <c r="V6" s="6" t="str">
        <f>_xlfn.CONCAT("('",Users!A6,"','",C6,"','",D6,"',",F6,",'",G6,"','",H6,"',",K6,",'",L6,"','",M6,"','",N6,"',",P6,",",Q6,",",S6,",",T6,"),")</f>
        <v>('832bd9bf-6d52-4261-8eb0-80c3ca1fa1dd','รีมัส','ลูปิน',FALSE,'rl05','RL05',FALSE,'AQAAAAEAACcQAAAAEFhXCj4OhvYhIHWQ/0eh93zUCtMwGByiZ0OAqb7edQmpGvW2fP9i5ErcH5F/56w9rA==','KUDFRXGYWA4BQNEJ5PSEPUWZXZWXB2Z5','fad281eb-5f47-43bd-b214-7102b2426675',FALSE,FALSE,TRUE,0),</v>
      </c>
    </row>
    <row r="7" spans="1:22" x14ac:dyDescent="0.25">
      <c r="A7" t="s">
        <v>150</v>
      </c>
      <c r="B7" t="s">
        <v>37</v>
      </c>
      <c r="C7" t="s">
        <v>844</v>
      </c>
      <c r="D7" t="s">
        <v>845</v>
      </c>
      <c r="E7" t="s">
        <v>37</v>
      </c>
      <c r="F7" t="b">
        <v>0</v>
      </c>
      <c r="G7" t="s">
        <v>846</v>
      </c>
      <c r="H7" t="s">
        <v>847</v>
      </c>
      <c r="I7" s="42" t="s">
        <v>848</v>
      </c>
      <c r="J7" t="s">
        <v>37</v>
      </c>
      <c r="K7" t="b">
        <v>0</v>
      </c>
      <c r="L7" t="s">
        <v>158</v>
      </c>
      <c r="M7" t="s">
        <v>166</v>
      </c>
      <c r="N7" t="s">
        <v>174</v>
      </c>
      <c r="O7" t="s">
        <v>37</v>
      </c>
      <c r="P7" t="b">
        <v>0</v>
      </c>
      <c r="Q7" t="b">
        <v>0</v>
      </c>
      <c r="R7" t="s">
        <v>37</v>
      </c>
      <c r="S7" t="b">
        <v>1</v>
      </c>
      <c r="T7">
        <v>0</v>
      </c>
      <c r="V7" s="6" t="str">
        <f>_xlfn.CONCAT("('",Users!A7,"','",C7,"','",D7,"',",F7,",'",G7,"','",H7,"',",K7,",'",L7,"','",M7,"','",N7,"',",P7,",",Q7,",",S7,",",T7,"),")</f>
        <v>('8090c38f-ca53-4238-810d-811a59e6cc68','ซิเรียส','แบล็ก',FALSE,'sb06','SB06',FALSE,'AQAAAAEAACcQAAAAEMXe/8qIMEM1DjwKMefYOL29ox39u8ELM6Zw5T9tX0fIW0wOSnLlAlqnfx7VNUekYg==','TTIVS7Z4ZY64UJCV5EVGFKFMCQVLL54V','b8c47777-cca3-4df1-86be-d8aab8abf878',FALSE,FALSE,TRUE,0),</v>
      </c>
    </row>
    <row r="8" spans="1:22" x14ac:dyDescent="0.25">
      <c r="A8" t="s">
        <v>151</v>
      </c>
      <c r="B8" t="s">
        <v>37</v>
      </c>
      <c r="C8" t="s">
        <v>849</v>
      </c>
      <c r="D8" t="s">
        <v>850</v>
      </c>
      <c r="E8" t="s">
        <v>37</v>
      </c>
      <c r="F8" t="b">
        <v>0</v>
      </c>
      <c r="G8" t="s">
        <v>852</v>
      </c>
      <c r="H8" t="s">
        <v>853</v>
      </c>
      <c r="I8" s="42" t="s">
        <v>851</v>
      </c>
      <c r="J8" t="s">
        <v>37</v>
      </c>
      <c r="K8" t="b">
        <v>0</v>
      </c>
      <c r="L8" t="s">
        <v>159</v>
      </c>
      <c r="M8" t="s">
        <v>167</v>
      </c>
      <c r="N8" t="s">
        <v>175</v>
      </c>
      <c r="O8" t="s">
        <v>37</v>
      </c>
      <c r="P8" t="b">
        <v>0</v>
      </c>
      <c r="Q8" t="b">
        <v>0</v>
      </c>
      <c r="R8" t="s">
        <v>37</v>
      </c>
      <c r="S8" t="b">
        <v>1</v>
      </c>
      <c r="T8">
        <v>0</v>
      </c>
      <c r="V8" s="6" t="str">
        <f>_xlfn.CONCAT("('",Users!A8,"','",C8,"','",D8,"',",F8,",'",G8,"','",H8,"',",K8,",'",L8,"','",M8,"','",N8,"',",P8,",",Q8,",",S8,",",T8,"),")</f>
        <v>('83ae307c-cd8c-4564-b0e8-da8d0b3f63fc','กิลเดอรอย','ล็อกฮาร์ต',FALSE,'gl07','GL07',FALSE,'AQAAAAEAACcQAAAAEDcF3kZIljQnnDnS8RaIiSv/+5dedc4T8g673HEY+ITjvgpSX82KvRN//XfKtekjgA==','QESSQCWHP6TGCQXSWOF6WMDHPX7Y2TPY','5c6b9f0b-a0e6-4b0d-914e-b1333e4bb8c3',FALSE,FALSE,TRUE,0),</v>
      </c>
    </row>
    <row r="9" spans="1:22" x14ac:dyDescent="0.25">
      <c r="A9" t="s">
        <v>152</v>
      </c>
      <c r="B9" t="s">
        <v>37</v>
      </c>
      <c r="C9" t="s">
        <v>854</v>
      </c>
      <c r="D9" t="s">
        <v>855</v>
      </c>
      <c r="E9" t="s">
        <v>37</v>
      </c>
      <c r="F9" t="b">
        <v>0</v>
      </c>
      <c r="G9" t="s">
        <v>857</v>
      </c>
      <c r="H9" t="s">
        <v>858</v>
      </c>
      <c r="I9" s="42" t="s">
        <v>856</v>
      </c>
      <c r="J9" t="s">
        <v>37</v>
      </c>
      <c r="K9" t="b">
        <v>0</v>
      </c>
      <c r="L9" t="s">
        <v>160</v>
      </c>
      <c r="M9" t="s">
        <v>168</v>
      </c>
      <c r="N9" t="s">
        <v>176</v>
      </c>
      <c r="O9" t="s">
        <v>37</v>
      </c>
      <c r="P9" t="b">
        <v>0</v>
      </c>
      <c r="Q9" t="b">
        <v>0</v>
      </c>
      <c r="R9" t="s">
        <v>37</v>
      </c>
      <c r="S9" t="b">
        <v>1</v>
      </c>
      <c r="T9">
        <v>0</v>
      </c>
      <c r="V9" s="6" t="str">
        <f>_xlfn.CONCAT("('",Users!A9,"','",C9,"','",D9,"',",F9,",'",G9,"','",H9,"',",K9,",'",L9,"','",M9,"','",N9,"',",P9,",",Q9,",",S9,",",T9,"),")</f>
        <v>('ca5037bc-1ffb-4fcb-a5d0-495c3cd5aa99','ฮอเรซ','สลักฮอร์น',FALSE,'hs08','HS08',FALSE,'AQAAAAEAACcQAAAAEOZOlp1yRVcUqC0pT8anNRMTnvOBDAF2YMV+uz56NJrTibFtqBHoITi0oxo4P93zcQ==','6R5LOQYAFZRGPJVRDIGJPMGGI5NLIDDG','9ff6eac9-6ec0-483a-be33-d1c8633b715e',FALSE,FALSE,TRUE,0),</v>
      </c>
    </row>
    <row r="10" spans="1:22" x14ac:dyDescent="0.25">
      <c r="A10" t="s">
        <v>153</v>
      </c>
      <c r="B10" t="s">
        <v>37</v>
      </c>
      <c r="C10" t="s">
        <v>859</v>
      </c>
      <c r="D10" t="s">
        <v>860</v>
      </c>
      <c r="E10" t="s">
        <v>37</v>
      </c>
      <c r="F10" t="b">
        <v>0</v>
      </c>
      <c r="G10" t="s">
        <v>862</v>
      </c>
      <c r="H10" t="s">
        <v>863</v>
      </c>
      <c r="I10" s="42" t="s">
        <v>861</v>
      </c>
      <c r="J10" t="s">
        <v>37</v>
      </c>
      <c r="K10" t="b">
        <v>0</v>
      </c>
      <c r="L10" t="s">
        <v>161</v>
      </c>
      <c r="M10" t="s">
        <v>169</v>
      </c>
      <c r="N10" t="s">
        <v>177</v>
      </c>
      <c r="O10" t="s">
        <v>37</v>
      </c>
      <c r="P10" t="b">
        <v>0</v>
      </c>
      <c r="Q10" t="b">
        <v>0</v>
      </c>
      <c r="R10" t="s">
        <v>37</v>
      </c>
      <c r="S10" t="b">
        <v>1</v>
      </c>
      <c r="T10">
        <v>0</v>
      </c>
      <c r="V10" s="6" t="str">
        <f>_xlfn.CONCAT("('",Users!A10,"','",C10,"','",D10,"',",F10,",'",G10,"','",H10,"',",K10,",'",L10,"','",M10,"','",N10,"',",P10,",",Q10,",",S10,",",T10,"),")</f>
        <v>('6ac9ae0c-53d1-497e-9e7d-3ce976d1f0d8','ซิบิลล์','ทรีลอว์นีย์',FALSE,'st09','ST09',FALSE,'AQAAAAEAACcQAAAAEEFVAKyjlgAIUTKz7rbdXJIq9lLHZFlvWkBA6vRLKZZ14pxzXUS8RJibsWdhXas4Aw==','4OWG4FC2VJ7BTD6CPPFPI2G3PX7RLB7Y','b7e078db-6073-46f6-bed8-a85454816e2c',FALSE,FALSE,TRUE,0),</v>
      </c>
    </row>
    <row r="11" spans="1:22" x14ac:dyDescent="0.25">
      <c r="A11" t="s">
        <v>879</v>
      </c>
      <c r="B11" t="s">
        <v>37</v>
      </c>
      <c r="C11" t="s">
        <v>864</v>
      </c>
      <c r="D11" t="s">
        <v>865</v>
      </c>
      <c r="E11" t="s">
        <v>37</v>
      </c>
      <c r="F11" t="b">
        <v>0</v>
      </c>
      <c r="G11" t="s">
        <v>866</v>
      </c>
      <c r="H11" t="s">
        <v>867</v>
      </c>
      <c r="I11" s="42" t="s">
        <v>868</v>
      </c>
      <c r="J11" t="s">
        <v>37</v>
      </c>
      <c r="K11" t="b">
        <v>0</v>
      </c>
      <c r="L11" t="s">
        <v>159</v>
      </c>
      <c r="M11" t="s">
        <v>167</v>
      </c>
      <c r="N11" t="s">
        <v>175</v>
      </c>
      <c r="O11" t="s">
        <v>37</v>
      </c>
      <c r="P11" t="b">
        <v>0</v>
      </c>
      <c r="Q11" t="b">
        <v>0</v>
      </c>
      <c r="R11" t="s">
        <v>37</v>
      </c>
      <c r="S11" t="b">
        <v>1</v>
      </c>
      <c r="T11">
        <v>0</v>
      </c>
      <c r="V11" s="6" t="str">
        <f>_xlfn.CONCAT("('",Users!A11,"','",C11,"','",D11,"',",F11,",'",G11,"','",H11,"',",K11,",'",L11,"','",M11,"','",N11,"',",P11,",",Q11,",",S11,",",T11,"),")</f>
        <v>('eb8ed330-f3ab-4966-993c-2245653e075e','ฟีลิอุส','ฟลิตวิก',FALSE,'ff10','FF10',FALSE,'AQAAAAEAACcQAAAAEDcF3kZIljQnnDnS8RaIiSv/+5dedc4T8g673HEY+ITjvgpSX82KvRN//XfKtekjgA==','QESSQCWHP6TGCQXSWOF6WMDHPX7Y2TPY','5c6b9f0b-a0e6-4b0d-914e-b1333e4bb8c3',FALSE,FALSE,TRUE,0),</v>
      </c>
    </row>
    <row r="12" spans="1:22" x14ac:dyDescent="0.25">
      <c r="A12" t="s">
        <v>880</v>
      </c>
      <c r="B12" t="s">
        <v>37</v>
      </c>
      <c r="C12" t="s">
        <v>869</v>
      </c>
      <c r="D12" t="s">
        <v>870</v>
      </c>
      <c r="E12" t="s">
        <v>37</v>
      </c>
      <c r="F12" t="b">
        <v>0</v>
      </c>
      <c r="G12" t="s">
        <v>872</v>
      </c>
      <c r="H12" t="s">
        <v>873</v>
      </c>
      <c r="I12" s="42" t="s">
        <v>871</v>
      </c>
      <c r="J12" t="s">
        <v>37</v>
      </c>
      <c r="K12" t="b">
        <v>0</v>
      </c>
      <c r="L12" t="s">
        <v>160</v>
      </c>
      <c r="M12" t="s">
        <v>168</v>
      </c>
      <c r="N12" t="s">
        <v>176</v>
      </c>
      <c r="O12" t="s">
        <v>37</v>
      </c>
      <c r="P12" t="b">
        <v>0</v>
      </c>
      <c r="Q12" t="b">
        <v>0</v>
      </c>
      <c r="R12" t="s">
        <v>37</v>
      </c>
      <c r="S12" t="b">
        <v>1</v>
      </c>
      <c r="T12">
        <v>0</v>
      </c>
      <c r="V12" s="6" t="str">
        <f>_xlfn.CONCAT("('",Users!A12,"','",C12,"','",D12,"',",F12,",'",G12,"','",H12,"',",K12,",'",L12,"','",M12,"','",N12,"',",P12,",",Q12,",",S12,",",T12,"),")</f>
        <v>('ee44cb44-8886-4193-9a02-53fdad80e46e','อาร์กัส','ฟิลช์',FALSE,'af11','AF11',FALSE,'AQAAAAEAACcQAAAAEOZOlp1yRVcUqC0pT8anNRMTnvOBDAF2YMV+uz56NJrTibFtqBHoITi0oxo4P93zcQ==','6R5LOQYAFZRGPJVRDIGJPMGGI5NLIDDG','9ff6eac9-6ec0-483a-be33-d1c8633b715e',FALSE,FALSE,TRUE,0),</v>
      </c>
    </row>
    <row r="13" spans="1:22" x14ac:dyDescent="0.25">
      <c r="A13" t="s">
        <v>881</v>
      </c>
      <c r="B13" t="s">
        <v>37</v>
      </c>
      <c r="C13" t="s">
        <v>874</v>
      </c>
      <c r="D13" t="s">
        <v>875</v>
      </c>
      <c r="E13" t="s">
        <v>37</v>
      </c>
      <c r="F13" t="b">
        <v>0</v>
      </c>
      <c r="G13" t="s">
        <v>876</v>
      </c>
      <c r="H13" t="s">
        <v>877</v>
      </c>
      <c r="I13" s="42" t="s">
        <v>878</v>
      </c>
      <c r="J13" t="s">
        <v>37</v>
      </c>
      <c r="K13" t="b">
        <v>0</v>
      </c>
      <c r="L13" t="s">
        <v>161</v>
      </c>
      <c r="M13" t="s">
        <v>169</v>
      </c>
      <c r="N13" t="s">
        <v>177</v>
      </c>
      <c r="O13" t="s">
        <v>37</v>
      </c>
      <c r="P13" t="b">
        <v>0</v>
      </c>
      <c r="Q13" t="b">
        <v>0</v>
      </c>
      <c r="R13" t="s">
        <v>37</v>
      </c>
      <c r="S13" t="b">
        <v>1</v>
      </c>
      <c r="T13">
        <v>0</v>
      </c>
      <c r="V13" s="6" t="str">
        <f>_xlfn.CONCAT("('",Users!A13,"','",C13,"','",D13,"',",F13,",'",G13,"','",H13,"',",K13,",'",L13,"','",M13,"','",N13,"',",P13,",",Q13,",",S13,",",T13,");")</f>
        <v>('7d26cfab-fb31-41cc-a4ea-29e610568be3','มาดาม','พอมฟรีย์',FALSE,'mp12','MP12',FALSE,'AQAAAAEAACcQAAAAEEFVAKyjlgAIUTKz7rbdXJIq9lLHZFlvWkBA6vRLKZZ14pxzXUS8RJibsWdhXas4Aw==','4OWG4FC2VJ7BTD6CPPFPI2G3PX7RLB7Y','b7e078db-6073-46f6-bed8-a85454816e2c',FALSE,FALSE,TRUE,0);</v>
      </c>
    </row>
    <row r="14" spans="1:22" x14ac:dyDescent="0.25">
      <c r="P14"/>
      <c r="S14"/>
    </row>
  </sheetData>
  <phoneticPr fontId="2" type="noConversion"/>
  <hyperlinks>
    <hyperlink ref="I2" r:id="rId1" xr:uid="{471B3405-C24E-4BA7-A4FD-F7457EF05A54}"/>
    <hyperlink ref="I3" r:id="rId2" xr:uid="{65784C42-C2D2-417E-9E6F-A383DB3D5759}"/>
    <hyperlink ref="I4" r:id="rId3" xr:uid="{4771A59A-8CBE-4A30-8419-2BD6B7AA0D5B}"/>
    <hyperlink ref="I5" r:id="rId4" xr:uid="{4EE7B776-4370-4E70-A58E-A08D44BEB7E1}"/>
    <hyperlink ref="I6" r:id="rId5" xr:uid="{4A0BADA8-C327-4B4D-9F4C-7C9E4D1BA7F1}"/>
    <hyperlink ref="I7" r:id="rId6" xr:uid="{C079F4EA-6D5D-4DD5-AA64-903960EADB9B}"/>
    <hyperlink ref="I8" r:id="rId7" xr:uid="{FD0CDFF9-2150-4894-A6E8-CCC30322E661}"/>
    <hyperlink ref="I9" r:id="rId8" xr:uid="{53C9E13D-F33B-443B-8790-C2F2FC5F6863}"/>
    <hyperlink ref="I10" r:id="rId9" xr:uid="{00279B5E-BE7B-42B9-B04A-7F76DD91C625}"/>
    <hyperlink ref="I11" r:id="rId10" xr:uid="{E5CB2934-61B3-477B-BC34-BE67FF3F5FFD}"/>
    <hyperlink ref="I12" r:id="rId11" xr:uid="{63A9AE86-8B0E-4A0A-99B0-EC05BC8E3920}"/>
    <hyperlink ref="I13" r:id="rId12" xr:uid="{E75FAE03-08EC-47A0-9E1D-CCCB14721464}"/>
  </hyperlinks>
  <pageMargins left="0.7" right="0.7" top="0.75" bottom="0.75" header="0.3" footer="0.3"/>
  <pageSetup paperSize="9" orientation="portrait" horizontalDpi="300" verticalDpi="30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4D32-D523-44FF-B2A5-01C233A4DA31}">
  <sheetPr>
    <tabColor rgb="FF00B050"/>
  </sheetPr>
  <dimension ref="A1:D13"/>
  <sheetViews>
    <sheetView workbookViewId="0">
      <selection activeCell="D2" sqref="D2:D13"/>
    </sheetView>
  </sheetViews>
  <sheetFormatPr defaultRowHeight="15" x14ac:dyDescent="0.25"/>
  <cols>
    <col min="1" max="1" width="29.42578125" customWidth="1"/>
    <col min="2" max="2" width="37.7109375" bestFit="1" customWidth="1"/>
    <col min="3" max="3" width="37" bestFit="1" customWidth="1"/>
    <col min="4" max="4" width="77.85546875" bestFit="1" customWidth="1"/>
  </cols>
  <sheetData>
    <row r="1" spans="1:4" x14ac:dyDescent="0.25">
      <c r="B1" t="s">
        <v>48</v>
      </c>
      <c r="C1" t="s">
        <v>49</v>
      </c>
    </row>
    <row r="2" spans="1:4" x14ac:dyDescent="0.25">
      <c r="A2" s="42" t="s">
        <v>821</v>
      </c>
      <c r="B2" t="s">
        <v>38</v>
      </c>
      <c r="C2" t="s">
        <v>45</v>
      </c>
      <c r="D2" s="11" t="str">
        <f t="shared" ref="D2:D4" si="0">_xlfn.CONCAT("('",B2,"','",C2,"'),")</f>
        <v>('4dbc7800-d343-4d6e-ab27-a7706b0cd126','baad21b1-6d08-4823-8cf3-0776a6266488'),</v>
      </c>
    </row>
    <row r="3" spans="1:4" x14ac:dyDescent="0.25">
      <c r="A3" s="42" t="s">
        <v>824</v>
      </c>
      <c r="B3" t="s">
        <v>146</v>
      </c>
      <c r="C3" t="s">
        <v>45</v>
      </c>
      <c r="D3" s="11" t="str">
        <f t="shared" si="0"/>
        <v>('ee7268d6-3012-4918-ad50-df59ac091c9d','baad21b1-6d08-4823-8cf3-0776a6266488'),</v>
      </c>
    </row>
    <row r="4" spans="1:4" x14ac:dyDescent="0.25">
      <c r="A4" s="42" t="s">
        <v>827</v>
      </c>
      <c r="B4" t="s">
        <v>147</v>
      </c>
      <c r="C4" t="s">
        <v>46</v>
      </c>
      <c r="D4" s="11" t="str">
        <f t="shared" si="0"/>
        <v>('258a7d9f-5fa7-4eae-8d31-bb7f64d35a79','9453a296-a401-a345-bf81-bca7ab0f73b5'),</v>
      </c>
    </row>
    <row r="5" spans="1:4" x14ac:dyDescent="0.25">
      <c r="A5" s="42" t="s">
        <v>836</v>
      </c>
      <c r="B5" t="s">
        <v>148</v>
      </c>
      <c r="C5" s="11" t="s">
        <v>46</v>
      </c>
      <c r="D5" s="11" t="str">
        <f>_xlfn.CONCAT("('",B5,"','",C5,"'),")</f>
        <v>('4875d3e5-9a6d-41c5-b3d5-7b4359c1baad','9453a296-a401-a345-bf81-bca7ab0f73b5'),</v>
      </c>
    </row>
    <row r="6" spans="1:4" x14ac:dyDescent="0.25">
      <c r="A6" s="42" t="s">
        <v>843</v>
      </c>
      <c r="B6" t="s">
        <v>149</v>
      </c>
      <c r="C6" s="11" t="s">
        <v>43</v>
      </c>
      <c r="D6" s="11" t="str">
        <f t="shared" ref="D6:D12" si="1">_xlfn.CONCAT("('",B6,"','",C6,"'),")</f>
        <v>('832bd9bf-6d52-4261-8eb0-80c3ca1fa1dd','9453a296-a401-72a7-bf81-bca7ab0fa401'),</v>
      </c>
    </row>
    <row r="7" spans="1:4" x14ac:dyDescent="0.25">
      <c r="A7" s="42" t="s">
        <v>848</v>
      </c>
      <c r="B7" t="s">
        <v>150</v>
      </c>
      <c r="C7" s="11" t="s">
        <v>43</v>
      </c>
      <c r="D7" s="11" t="str">
        <f t="shared" si="1"/>
        <v>('8090c38f-ca53-4238-810d-811a59e6cc68','9453a296-a401-72a7-bf81-bca7ab0fa401'),</v>
      </c>
    </row>
    <row r="8" spans="1:4" x14ac:dyDescent="0.25">
      <c r="A8" s="42" t="s">
        <v>851</v>
      </c>
      <c r="B8" t="s">
        <v>151</v>
      </c>
      <c r="C8" s="11" t="s">
        <v>42</v>
      </c>
      <c r="D8" s="11" t="str">
        <f t="shared" si="1"/>
        <v>('83ae307c-cd8c-4564-b0e8-da8d0b3f63fc','a7c93a18-5c50-4e28-b02d-3b50cc3e17f1'),</v>
      </c>
    </row>
    <row r="9" spans="1:4" x14ac:dyDescent="0.25">
      <c r="A9" s="42" t="s">
        <v>856</v>
      </c>
      <c r="B9" t="s">
        <v>152</v>
      </c>
      <c r="C9" s="11" t="s">
        <v>42</v>
      </c>
      <c r="D9" s="11" t="str">
        <f t="shared" si="1"/>
        <v>('ca5037bc-1ffb-4fcb-a5d0-495c3cd5aa99','a7c93a18-5c50-4e28-b02d-3b50cc3e17f1'),</v>
      </c>
    </row>
    <row r="10" spans="1:4" x14ac:dyDescent="0.25">
      <c r="A10" s="42" t="s">
        <v>861</v>
      </c>
      <c r="B10" t="s">
        <v>153</v>
      </c>
      <c r="C10" s="11" t="s">
        <v>44</v>
      </c>
      <c r="D10" s="11" t="str">
        <f t="shared" si="1"/>
        <v>('6ac9ae0c-53d1-497e-9e7d-3ce976d1f0d8','f903d36f-2531-4916-86bb-7b051aac7029'),</v>
      </c>
    </row>
    <row r="11" spans="1:4" x14ac:dyDescent="0.25">
      <c r="A11" s="42" t="s">
        <v>868</v>
      </c>
      <c r="B11" t="s">
        <v>879</v>
      </c>
      <c r="C11" s="11" t="s">
        <v>44</v>
      </c>
      <c r="D11" s="11" t="str">
        <f t="shared" si="1"/>
        <v>('eb8ed330-f3ab-4966-993c-2245653e075e','f903d36f-2531-4916-86bb-7b051aac7029'),</v>
      </c>
    </row>
    <row r="12" spans="1:4" x14ac:dyDescent="0.25">
      <c r="A12" s="42" t="s">
        <v>871</v>
      </c>
      <c r="B12" t="s">
        <v>880</v>
      </c>
      <c r="C12" s="11" t="s">
        <v>47</v>
      </c>
      <c r="D12" s="11" t="str">
        <f t="shared" si="1"/>
        <v>('ee44cb44-8886-4193-9a02-53fdad80e46e','9453a296-a401-480b-bf81-bca7ab0f72a7'),</v>
      </c>
    </row>
    <row r="13" spans="1:4" x14ac:dyDescent="0.25">
      <c r="A13" s="42" t="s">
        <v>878</v>
      </c>
      <c r="B13" t="s">
        <v>881</v>
      </c>
      <c r="C13" s="11" t="s">
        <v>47</v>
      </c>
      <c r="D13" s="11" t="str">
        <f>_xlfn.CONCAT("('",B13,"','",C13,"');")</f>
        <v>('7d26cfab-fb31-41cc-a4ea-29e610568be3','9453a296-a401-480b-bf81-bca7ab0f72a7');</v>
      </c>
    </row>
  </sheetData>
  <hyperlinks>
    <hyperlink ref="A2" r:id="rId1" xr:uid="{BC262E33-FA8C-4D31-A871-C04957BDAA1B}"/>
    <hyperlink ref="A3" r:id="rId2" xr:uid="{9311CEF3-7E4E-4DA7-9EC4-D734E0E4A661}"/>
    <hyperlink ref="A4" r:id="rId3" xr:uid="{43F55565-554D-419B-9005-230E1420DF27}"/>
    <hyperlink ref="A5" r:id="rId4" xr:uid="{EAE28D48-39A5-4EA4-BFFA-0CD339559697}"/>
    <hyperlink ref="A6" r:id="rId5" xr:uid="{CD190941-1E16-4921-A5BC-585FBF2AE1C9}"/>
    <hyperlink ref="A7" r:id="rId6" xr:uid="{D6EFEB86-6AC7-4CFF-96AC-8877A643B109}"/>
    <hyperlink ref="A8" r:id="rId7" xr:uid="{F4892F58-8157-4C52-9DA7-FFA2DE6113D8}"/>
    <hyperlink ref="A9" r:id="rId8" xr:uid="{13833F0A-C3FC-4B4F-AA19-C3359778DF26}"/>
    <hyperlink ref="A10" r:id="rId9" xr:uid="{D9666A27-8CB4-4ED8-A779-C7B28A73211D}"/>
    <hyperlink ref="A11" r:id="rId10" xr:uid="{AA8718AE-8F31-4AD6-8148-FB7CE7E8EB44}"/>
    <hyperlink ref="A12" r:id="rId11" xr:uid="{00F6631A-27C4-4FFD-8999-927C8F9F602E}"/>
    <hyperlink ref="A13" r:id="rId12" xr:uid="{E8F2F5E6-B993-4264-8B46-C58174FBD12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9BD1-8CC9-4D47-BBAA-41918AFB87B3}">
  <sheetPr>
    <tabColor rgb="FF00B050"/>
  </sheetPr>
  <dimension ref="A2:C13"/>
  <sheetViews>
    <sheetView workbookViewId="0">
      <selection activeCell="H14" sqref="H14"/>
    </sheetView>
  </sheetViews>
  <sheetFormatPr defaultRowHeight="15" x14ac:dyDescent="0.25"/>
  <cols>
    <col min="1" max="1" width="37.7109375" bestFit="1" customWidth="1"/>
    <col min="3" max="3" width="46.28515625" customWidth="1"/>
  </cols>
  <sheetData>
    <row r="2" spans="1:3" x14ac:dyDescent="0.25">
      <c r="A2" t="s">
        <v>38</v>
      </c>
      <c r="B2">
        <v>-1</v>
      </c>
      <c r="C2" t="str">
        <f>_xlfn.CONCAT("('",A2,"',",B2,"),")</f>
        <v>('4dbc7800-d343-4d6e-ab27-a7706b0cd126',-1),</v>
      </c>
    </row>
    <row r="3" spans="1:3" x14ac:dyDescent="0.25">
      <c r="A3" t="s">
        <v>146</v>
      </c>
      <c r="B3">
        <v>-1</v>
      </c>
      <c r="C3" t="str">
        <f t="shared" ref="C3:C12" si="0">_xlfn.CONCAT("('",A3,"',",B3,"),")</f>
        <v>('ee7268d6-3012-4918-ad50-df59ac091c9d',-1),</v>
      </c>
    </row>
    <row r="4" spans="1:3" x14ac:dyDescent="0.25">
      <c r="A4" t="s">
        <v>147</v>
      </c>
      <c r="B4">
        <v>-1</v>
      </c>
      <c r="C4" t="str">
        <f t="shared" si="0"/>
        <v>('258a7d9f-5fa7-4eae-8d31-bb7f64d35a79',-1),</v>
      </c>
    </row>
    <row r="5" spans="1:3" x14ac:dyDescent="0.25">
      <c r="A5" t="s">
        <v>148</v>
      </c>
      <c r="B5">
        <v>-1</v>
      </c>
      <c r="C5" t="str">
        <f t="shared" si="0"/>
        <v>('4875d3e5-9a6d-41c5-b3d5-7b4359c1baad',-1),</v>
      </c>
    </row>
    <row r="6" spans="1:3" x14ac:dyDescent="0.25">
      <c r="A6" t="s">
        <v>149</v>
      </c>
      <c r="B6">
        <v>-1</v>
      </c>
      <c r="C6" t="str">
        <f t="shared" si="0"/>
        <v>('832bd9bf-6d52-4261-8eb0-80c3ca1fa1dd',-1),</v>
      </c>
    </row>
    <row r="7" spans="1:3" x14ac:dyDescent="0.25">
      <c r="A7" t="s">
        <v>150</v>
      </c>
      <c r="B7">
        <v>-1</v>
      </c>
      <c r="C7" t="str">
        <f t="shared" si="0"/>
        <v>('8090c38f-ca53-4238-810d-811a59e6cc68',-1),</v>
      </c>
    </row>
    <row r="8" spans="1:3" x14ac:dyDescent="0.25">
      <c r="A8" t="s">
        <v>151</v>
      </c>
      <c r="B8">
        <v>-1</v>
      </c>
      <c r="C8" t="str">
        <f t="shared" si="0"/>
        <v>('83ae307c-cd8c-4564-b0e8-da8d0b3f63fc',-1),</v>
      </c>
    </row>
    <row r="9" spans="1:3" x14ac:dyDescent="0.25">
      <c r="A9" t="s">
        <v>152</v>
      </c>
      <c r="B9">
        <v>-1</v>
      </c>
      <c r="C9" t="str">
        <f t="shared" si="0"/>
        <v>('ca5037bc-1ffb-4fcb-a5d0-495c3cd5aa99',-1),</v>
      </c>
    </row>
    <row r="10" spans="1:3" x14ac:dyDescent="0.25">
      <c r="A10" t="s">
        <v>153</v>
      </c>
      <c r="B10">
        <v>-1</v>
      </c>
      <c r="C10" t="str">
        <f t="shared" si="0"/>
        <v>('6ac9ae0c-53d1-497e-9e7d-3ce976d1f0d8',-1),</v>
      </c>
    </row>
    <row r="11" spans="1:3" x14ac:dyDescent="0.25">
      <c r="A11" t="s">
        <v>879</v>
      </c>
      <c r="B11">
        <v>-1</v>
      </c>
      <c r="C11" t="str">
        <f t="shared" si="0"/>
        <v>('eb8ed330-f3ab-4966-993c-2245653e075e',-1),</v>
      </c>
    </row>
    <row r="12" spans="1:3" x14ac:dyDescent="0.25">
      <c r="A12" t="s">
        <v>880</v>
      </c>
      <c r="B12">
        <v>-1</v>
      </c>
      <c r="C12" t="str">
        <f t="shared" si="0"/>
        <v>('ee44cb44-8886-4193-9a02-53fdad80e46e',-1),</v>
      </c>
    </row>
    <row r="13" spans="1:3" x14ac:dyDescent="0.25">
      <c r="A13" t="s">
        <v>881</v>
      </c>
      <c r="B13">
        <v>-1</v>
      </c>
      <c r="C13" t="str">
        <f>_xlfn.CONCAT("('",A13,"',",B13,");")</f>
        <v>('7d26cfab-fb31-41cc-a4ea-29e610568be3',-1);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6FBC-3EAD-4D91-B7FC-45D49885F4E1}">
  <sheetPr>
    <tabColor rgb="FF00B050"/>
  </sheetPr>
  <dimension ref="A2:P13"/>
  <sheetViews>
    <sheetView topLeftCell="D1" workbookViewId="0">
      <selection activeCell="P2" sqref="P2:P13"/>
    </sheetView>
  </sheetViews>
  <sheetFormatPr defaultRowHeight="15" x14ac:dyDescent="0.25"/>
  <cols>
    <col min="1" max="1" width="38" bestFit="1" customWidth="1"/>
    <col min="2" max="2" width="28.140625" bestFit="1" customWidth="1"/>
    <col min="3" max="3" width="37.28515625" bestFit="1" customWidth="1"/>
    <col min="4" max="4" width="28.140625" bestFit="1" customWidth="1"/>
    <col min="5" max="5" width="11.28515625" customWidth="1"/>
    <col min="6" max="6" width="5.42578125" bestFit="1" customWidth="1"/>
    <col min="7" max="7" width="2" bestFit="1" customWidth="1"/>
    <col min="8" max="8" width="11.5703125" bestFit="1" customWidth="1"/>
    <col min="10" max="10" width="37.7109375" bestFit="1" customWidth="1"/>
    <col min="11" max="11" width="4" bestFit="1" customWidth="1"/>
    <col min="12" max="12" width="3.140625" customWidth="1"/>
    <col min="13" max="13" width="2.5703125" customWidth="1"/>
    <col min="14" max="15" width="2" bestFit="1" customWidth="1"/>
    <col min="16" max="16" width="238.42578125" bestFit="1" customWidth="1"/>
  </cols>
  <sheetData>
    <row r="2" spans="1:16" x14ac:dyDescent="0.25">
      <c r="A2" t="s">
        <v>887</v>
      </c>
      <c r="B2" t="s">
        <v>50</v>
      </c>
      <c r="C2" t="s">
        <v>0</v>
      </c>
      <c r="D2" t="s">
        <v>50</v>
      </c>
      <c r="E2" t="s">
        <v>0</v>
      </c>
      <c r="F2" t="b">
        <v>1</v>
      </c>
      <c r="G2">
        <v>0</v>
      </c>
      <c r="H2" t="s">
        <v>51</v>
      </c>
      <c r="J2" t="s">
        <v>38</v>
      </c>
      <c r="K2">
        <v>200</v>
      </c>
      <c r="N2">
        <v>2</v>
      </c>
      <c r="O2">
        <v>0</v>
      </c>
      <c r="P2" t="str">
        <f>_xlfn.CONCAT("('",A2,"','",B2,"','",C2,"','",D2,"','",E2,"',",F2,",",G2,",'",H2,"','",J2,"',",K2,",",N2,",",O2,"),")</f>
        <v>('0f171fd4-1e5a-4e61-b255-0eff804cf6be','2025-03-13 06:44:05.251356+00','866dabc4-6501-44d2-a0e5-65da9c45a46e','2025-03-13 06:44:05.251356+00','866dabc4-6501-44d2-a0e5-65da9c45a46e',TRUE,0,'UserIncome','4dbc7800-d343-4d6e-ab27-a7706b0cd126',200,2,0),</v>
      </c>
    </row>
    <row r="3" spans="1:16" x14ac:dyDescent="0.25">
      <c r="A3" t="s">
        <v>888</v>
      </c>
      <c r="B3" t="s">
        <v>52</v>
      </c>
      <c r="C3" t="s">
        <v>0</v>
      </c>
      <c r="D3" t="s">
        <v>52</v>
      </c>
      <c r="E3" t="s">
        <v>0</v>
      </c>
      <c r="F3" t="b">
        <v>1</v>
      </c>
      <c r="G3">
        <v>0</v>
      </c>
      <c r="H3" t="s">
        <v>51</v>
      </c>
      <c r="J3" t="s">
        <v>146</v>
      </c>
      <c r="K3">
        <v>250</v>
      </c>
      <c r="N3">
        <v>2</v>
      </c>
      <c r="O3">
        <v>0</v>
      </c>
      <c r="P3" t="str">
        <f t="shared" ref="P3:P12" si="0">_xlfn.CONCAT("('",A3,"','",B3,"','",C3,"','",D3,"','",E3,"',",F3,",",G3,",'",H3,"','",J3,"',",K3,",",N3,",",O3,"),")</f>
        <v>('1a7f70e8-f02d-485e-aa9a-42bb5c4073d5','2025-03-13 06:44:12.673942+00','866dabc4-6501-44d2-a0e5-65da9c45a46e','2025-03-13 06:44:12.673942+00','866dabc4-6501-44d2-a0e5-65da9c45a46e',TRUE,0,'UserIncome','ee7268d6-3012-4918-ad50-df59ac091c9d',250,2,0),</v>
      </c>
    </row>
    <row r="4" spans="1:16" x14ac:dyDescent="0.25">
      <c r="A4" t="s">
        <v>889</v>
      </c>
      <c r="B4" t="s">
        <v>53</v>
      </c>
      <c r="C4" t="s">
        <v>0</v>
      </c>
      <c r="D4" t="s">
        <v>53</v>
      </c>
      <c r="E4" t="s">
        <v>0</v>
      </c>
      <c r="F4" t="b">
        <v>1</v>
      </c>
      <c r="G4">
        <v>0</v>
      </c>
      <c r="H4" t="s">
        <v>51</v>
      </c>
      <c r="J4" t="s">
        <v>147</v>
      </c>
      <c r="K4">
        <v>270</v>
      </c>
      <c r="N4">
        <v>2</v>
      </c>
      <c r="O4">
        <v>0</v>
      </c>
      <c r="P4" t="str">
        <f t="shared" si="0"/>
        <v>('ed158529-1772-4e9d-9b1e-9b5ea4e62424','2025-03-13 06:43:53.391525+00','866dabc4-6501-44d2-a0e5-65da9c45a46e','2025-03-13 06:43:53.391525+00','866dabc4-6501-44d2-a0e5-65da9c45a46e',TRUE,0,'UserIncome','258a7d9f-5fa7-4eae-8d31-bb7f64d35a79',270,2,0),</v>
      </c>
    </row>
    <row r="5" spans="1:16" x14ac:dyDescent="0.25">
      <c r="A5" t="s">
        <v>890</v>
      </c>
      <c r="B5" t="s">
        <v>54</v>
      </c>
      <c r="C5" t="s">
        <v>0</v>
      </c>
      <c r="D5" t="s">
        <v>55</v>
      </c>
      <c r="E5" t="s">
        <v>0</v>
      </c>
      <c r="F5" t="b">
        <v>1</v>
      </c>
      <c r="G5">
        <v>0</v>
      </c>
      <c r="H5" t="s">
        <v>51</v>
      </c>
      <c r="J5" t="s">
        <v>148</v>
      </c>
      <c r="K5">
        <v>288</v>
      </c>
      <c r="N5">
        <v>2</v>
      </c>
      <c r="O5">
        <v>0</v>
      </c>
      <c r="P5" t="str">
        <f t="shared" si="0"/>
        <v>('a0980814-1ec8-4151-8293-ed6ebe64a596','2025-03-13 06:34:22.149052+00','866dabc4-6501-44d2-a0e5-65da9c45a46e','2025-03-13 06:43:33.754449+00','866dabc4-6501-44d2-a0e5-65da9c45a46e',TRUE,0,'UserIncome','4875d3e5-9a6d-41c5-b3d5-7b4359c1baad',288,2,0),</v>
      </c>
    </row>
    <row r="6" spans="1:16" x14ac:dyDescent="0.25">
      <c r="A6" t="s">
        <v>891</v>
      </c>
      <c r="B6" t="s">
        <v>56</v>
      </c>
      <c r="C6" t="s">
        <v>0</v>
      </c>
      <c r="D6" t="s">
        <v>56</v>
      </c>
      <c r="E6" t="s">
        <v>0</v>
      </c>
      <c r="F6" t="b">
        <v>1</v>
      </c>
      <c r="G6">
        <v>0</v>
      </c>
      <c r="H6" t="s">
        <v>51</v>
      </c>
      <c r="J6" t="s">
        <v>149</v>
      </c>
      <c r="K6">
        <v>450</v>
      </c>
      <c r="N6">
        <v>1</v>
      </c>
      <c r="O6">
        <v>0</v>
      </c>
      <c r="P6" t="str">
        <f t="shared" si="0"/>
        <v>('ec227798-704d-47a5-83f0-c3e303e03477','2025-03-13 06:39:46.685407+00','866dabc4-6501-44d2-a0e5-65da9c45a46e','2025-03-13 06:39:46.685407+00','866dabc4-6501-44d2-a0e5-65da9c45a46e',TRUE,0,'UserIncome','832bd9bf-6d52-4261-8eb0-80c3ca1fa1dd',450,1,0),</v>
      </c>
    </row>
    <row r="7" spans="1:16" x14ac:dyDescent="0.25">
      <c r="A7" t="s">
        <v>892</v>
      </c>
      <c r="B7" t="s">
        <v>57</v>
      </c>
      <c r="C7" t="s">
        <v>0</v>
      </c>
      <c r="D7" t="s">
        <v>57</v>
      </c>
      <c r="E7" t="s">
        <v>0</v>
      </c>
      <c r="F7" t="b">
        <v>1</v>
      </c>
      <c r="G7">
        <v>0</v>
      </c>
      <c r="H7" t="s">
        <v>51</v>
      </c>
      <c r="J7" t="s">
        <v>150</v>
      </c>
      <c r="K7">
        <v>250</v>
      </c>
      <c r="N7">
        <v>2</v>
      </c>
      <c r="O7">
        <v>0</v>
      </c>
      <c r="P7" t="str">
        <f t="shared" si="0"/>
        <v>('ecf05ebb-806c-447e-b734-d21ddba3e484','2025-03-13 06:44:20.488909+00','866dabc4-6501-44d2-a0e5-65da9c45a46e','2025-03-13 06:44:20.488909+00','866dabc4-6501-44d2-a0e5-65da9c45a46e',TRUE,0,'UserIncome','8090c38f-ca53-4238-810d-811a59e6cc68',250,2,0),</v>
      </c>
    </row>
    <row r="8" spans="1:16" x14ac:dyDescent="0.25">
      <c r="A8" t="s">
        <v>893</v>
      </c>
      <c r="B8" t="s">
        <v>58</v>
      </c>
      <c r="C8" t="s">
        <v>0</v>
      </c>
      <c r="D8" t="s">
        <v>58</v>
      </c>
      <c r="E8" t="s">
        <v>0</v>
      </c>
      <c r="F8" t="b">
        <v>1</v>
      </c>
      <c r="G8">
        <v>0</v>
      </c>
      <c r="H8" t="s">
        <v>51</v>
      </c>
      <c r="J8" t="s">
        <v>151</v>
      </c>
      <c r="K8">
        <v>288</v>
      </c>
      <c r="N8">
        <v>2</v>
      </c>
      <c r="O8">
        <v>0</v>
      </c>
      <c r="P8" t="str">
        <f t="shared" si="0"/>
        <v>('a109bb70-04c3-448a-9312-b63c96352252','2025-03-13 06:42:29.455616+00','866dabc4-6501-44d2-a0e5-65da9c45a46e','2025-03-13 06:42:29.455616+00','866dabc4-6501-44d2-a0e5-65da9c45a46e',TRUE,0,'UserIncome','83ae307c-cd8c-4564-b0e8-da8d0b3f63fc',288,2,0),</v>
      </c>
    </row>
    <row r="9" spans="1:16" x14ac:dyDescent="0.25">
      <c r="A9" t="s">
        <v>894</v>
      </c>
      <c r="B9" t="s">
        <v>59</v>
      </c>
      <c r="C9" t="s">
        <v>0</v>
      </c>
      <c r="D9" t="s">
        <v>60</v>
      </c>
      <c r="E9" t="s">
        <v>0</v>
      </c>
      <c r="F9" t="b">
        <v>1</v>
      </c>
      <c r="G9">
        <v>0</v>
      </c>
      <c r="H9" t="s">
        <v>51</v>
      </c>
      <c r="J9" t="s">
        <v>152</v>
      </c>
      <c r="K9">
        <v>270</v>
      </c>
      <c r="N9">
        <v>2</v>
      </c>
      <c r="O9">
        <v>0</v>
      </c>
      <c r="P9" t="str">
        <f t="shared" si="0"/>
        <v>('bc2e951a-fe6d-420c-80e3-11f7428e872d','2025-03-13 06:40:04.332113+00','866dabc4-6501-44d2-a0e5-65da9c45a46e','2025-03-13 06:43:21.662104+00','866dabc4-6501-44d2-a0e5-65da9c45a46e',TRUE,0,'UserIncome','ca5037bc-1ffb-4fcb-a5d0-495c3cd5aa99',270,2,0),</v>
      </c>
    </row>
    <row r="10" spans="1:16" x14ac:dyDescent="0.25">
      <c r="A10" t="s">
        <v>895</v>
      </c>
      <c r="B10" t="s">
        <v>61</v>
      </c>
      <c r="C10" t="s">
        <v>0</v>
      </c>
      <c r="D10" t="s">
        <v>62</v>
      </c>
      <c r="E10" t="s">
        <v>0</v>
      </c>
      <c r="F10" t="b">
        <v>1</v>
      </c>
      <c r="G10">
        <v>0</v>
      </c>
      <c r="H10" t="s">
        <v>51</v>
      </c>
      <c r="J10" t="s">
        <v>153</v>
      </c>
      <c r="K10">
        <v>270</v>
      </c>
      <c r="N10">
        <v>2</v>
      </c>
      <c r="O10">
        <v>0</v>
      </c>
      <c r="P10" t="str">
        <f>_xlfn.CONCAT("('",A10,"','",B10,"','",C10,"','",D10,"','",E10,"',",F10,",",G10,",'",H10,"','",J10,"',",K10,",",N10,",",O10,"),")</f>
        <v>('5080a050-ed36-4457-9981-4303362547ed','2025-03-13 06:40:15.952421+00','866dabc4-6501-44d2-a0e5-65da9c45a46e','2025-03-13 06:43:27.83884+00','866dabc4-6501-44d2-a0e5-65da9c45a46e',TRUE,0,'UserIncome','6ac9ae0c-53d1-497e-9e7d-3ce976d1f0d8',270,2,0),</v>
      </c>
    </row>
    <row r="11" spans="1:16" x14ac:dyDescent="0.25">
      <c r="A11" t="s">
        <v>896</v>
      </c>
      <c r="B11" t="s">
        <v>882</v>
      </c>
      <c r="C11" t="s">
        <v>0</v>
      </c>
      <c r="D11" t="s">
        <v>882</v>
      </c>
      <c r="E11" t="s">
        <v>0</v>
      </c>
      <c r="F11" t="b">
        <v>1</v>
      </c>
      <c r="G11">
        <v>0</v>
      </c>
      <c r="H11" t="s">
        <v>51</v>
      </c>
      <c r="J11" t="s">
        <v>879</v>
      </c>
      <c r="K11">
        <v>258</v>
      </c>
      <c r="N11">
        <v>2</v>
      </c>
      <c r="O11">
        <v>0</v>
      </c>
      <c r="P11" t="str">
        <f t="shared" si="0"/>
        <v>('c6052a39-0d46-4c59-ad41-269c25de9559','2025-03-13 06:42:29.455616+01','866dabc4-6501-44d2-a0e5-65da9c45a46e','2025-03-13 06:42:29.455616+01','866dabc4-6501-44d2-a0e5-65da9c45a46e',TRUE,0,'UserIncome','eb8ed330-f3ab-4966-993c-2245653e075e',258,2,0),</v>
      </c>
    </row>
    <row r="12" spans="1:16" x14ac:dyDescent="0.25">
      <c r="A12" t="s">
        <v>897</v>
      </c>
      <c r="B12" t="s">
        <v>883</v>
      </c>
      <c r="C12" t="s">
        <v>0</v>
      </c>
      <c r="D12" t="s">
        <v>884</v>
      </c>
      <c r="E12" t="s">
        <v>0</v>
      </c>
      <c r="F12" t="b">
        <v>1</v>
      </c>
      <c r="G12">
        <v>0</v>
      </c>
      <c r="H12" t="s">
        <v>51</v>
      </c>
      <c r="J12" t="s">
        <v>880</v>
      </c>
      <c r="K12">
        <v>249</v>
      </c>
      <c r="N12">
        <v>2</v>
      </c>
      <c r="O12">
        <v>0</v>
      </c>
      <c r="P12" t="str">
        <f t="shared" si="0"/>
        <v>('2fc4e9cf-e05c-4a72-b1b8-b443908c11b2','2025-03-13 06:40:04.332113+01','866dabc4-6501-44d2-a0e5-65da9c45a46e','2025-03-13 06:43:21.662104+01','866dabc4-6501-44d2-a0e5-65da9c45a46e',TRUE,0,'UserIncome','ee44cb44-8886-4193-9a02-53fdad80e46e',249,2,0),</v>
      </c>
    </row>
    <row r="13" spans="1:16" x14ac:dyDescent="0.25">
      <c r="A13" t="s">
        <v>898</v>
      </c>
      <c r="B13" t="s">
        <v>885</v>
      </c>
      <c r="C13" t="s">
        <v>0</v>
      </c>
      <c r="D13" t="s">
        <v>886</v>
      </c>
      <c r="E13" t="s">
        <v>0</v>
      </c>
      <c r="F13" t="b">
        <v>1</v>
      </c>
      <c r="G13">
        <v>0</v>
      </c>
      <c r="H13" t="s">
        <v>51</v>
      </c>
      <c r="J13" t="s">
        <v>881</v>
      </c>
      <c r="K13">
        <v>240</v>
      </c>
      <c r="N13">
        <v>2</v>
      </c>
      <c r="O13">
        <v>0</v>
      </c>
      <c r="P13" t="str">
        <f>_xlfn.CONCAT("('",A13,"','",B13,"','",C13,"','",D13,"','",E13,"',",F13,",",G13,",'",H13,"','",J13,"',",K13,",",N13,",",O13,");")</f>
        <v>('8bff6968-5f4b-49be-a180-c8eba9848ddb','2025-03-13 06:40:15.952421+01','866dabc4-6501-44d2-a0e5-65da9c45a46e','2025-03-13 06:43:27.83884+01','866dabc4-6501-44d2-a0e5-65da9c45a46e',TRUE,0,'UserIncome','7d26cfab-fb31-41cc-a4ea-29e610568be3',240,2,0);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81AA-32F8-48B0-92BB-453DDD027491}">
  <sheetPr>
    <tabColor rgb="FF00B050"/>
  </sheetPr>
  <dimension ref="A1:M31"/>
  <sheetViews>
    <sheetView tabSelected="1" zoomScale="70" zoomScaleNormal="70" workbookViewId="0">
      <selection activeCell="M18" sqref="M18"/>
    </sheetView>
  </sheetViews>
  <sheetFormatPr defaultRowHeight="15" x14ac:dyDescent="0.25"/>
  <cols>
    <col min="2" max="2" width="45.42578125" bestFit="1" customWidth="1"/>
    <col min="4" max="4" width="8.7109375" bestFit="1" customWidth="1"/>
    <col min="5" max="5" width="22.140625" customWidth="1"/>
    <col min="6" max="6" width="48.5703125" customWidth="1"/>
    <col min="7" max="7" width="6" customWidth="1"/>
    <col min="8" max="8" width="12.42578125" style="1" bestFit="1" customWidth="1"/>
    <col min="9" max="9" width="12.42578125" style="1" customWidth="1"/>
    <col min="10" max="10" width="17.85546875" style="2" customWidth="1"/>
    <col min="11" max="11" width="3.5703125" bestFit="1" customWidth="1"/>
    <col min="12" max="12" width="3" customWidth="1"/>
    <col min="13" max="13" width="153.5703125" bestFit="1" customWidth="1"/>
  </cols>
  <sheetData>
    <row r="1" spans="1:13" x14ac:dyDescent="0.25">
      <c r="E1" t="s">
        <v>930</v>
      </c>
      <c r="I1" s="1" t="s">
        <v>931</v>
      </c>
    </row>
    <row r="2" spans="1:13" x14ac:dyDescent="0.25">
      <c r="A2">
        <v>6505315</v>
      </c>
      <c r="B2" t="s">
        <v>0</v>
      </c>
      <c r="C2" t="b">
        <v>1</v>
      </c>
      <c r="D2">
        <v>6505315</v>
      </c>
      <c r="E2" s="1" t="s">
        <v>737</v>
      </c>
      <c r="F2" t="s">
        <v>899</v>
      </c>
      <c r="G2" t="s">
        <v>63</v>
      </c>
      <c r="H2" s="1" t="s">
        <v>2</v>
      </c>
      <c r="I2" s="1" t="s">
        <v>141</v>
      </c>
      <c r="K2">
        <v>-1</v>
      </c>
      <c r="M2" t="str">
        <f>_xlfn.CONCAT("(",A2,",'",B2,"',",C2,",",D2,",'",E2,"','",F2,"','",G2,"','",H2,"',",I2,",",K2,"),")</f>
        <v>(6505315,'866dabc4-6501-44d2-a0e5-65da9c45a46e',TRUE,6505315,'3100800257727','แฮร์รี่ พอตเตอร์','M','1994-12-23',-4,-1),</v>
      </c>
    </row>
    <row r="3" spans="1:13" x14ac:dyDescent="0.25">
      <c r="A3">
        <v>6455308</v>
      </c>
      <c r="B3" t="s">
        <v>0</v>
      </c>
      <c r="C3" t="b">
        <v>1</v>
      </c>
      <c r="D3">
        <v>6455308</v>
      </c>
      <c r="E3" s="1" t="s">
        <v>738</v>
      </c>
      <c r="F3" t="s">
        <v>900</v>
      </c>
      <c r="G3" t="s">
        <v>64</v>
      </c>
      <c r="H3" s="1" t="s">
        <v>3</v>
      </c>
      <c r="I3" s="1" t="s">
        <v>141</v>
      </c>
      <c r="K3">
        <v>-1</v>
      </c>
      <c r="M3" t="str">
        <f t="shared" ref="M3:M30" si="0">_xlfn.CONCAT("(",A3,",'",B3,"',",C3,",",D3,",'",E3,"','",F3,"','",G3,"','",H3,"',",I3,",",K3,"),")</f>
        <v>(6455308,'866dabc4-6501-44d2-a0e5-65da9c45a46e',TRUE,6455308,'1250500084692','เฮอร์ไมโอนี่ เกรนเจอร์','F','1995-01-02',-4,-1),</v>
      </c>
    </row>
    <row r="4" spans="1:13" x14ac:dyDescent="0.25">
      <c r="A4">
        <v>6508733</v>
      </c>
      <c r="B4" t="s">
        <v>0</v>
      </c>
      <c r="C4" t="b">
        <v>1</v>
      </c>
      <c r="D4">
        <v>6508733</v>
      </c>
      <c r="E4" s="1" t="s">
        <v>739</v>
      </c>
      <c r="F4" t="s">
        <v>901</v>
      </c>
      <c r="G4" t="s">
        <v>63</v>
      </c>
      <c r="H4" s="1" t="s">
        <v>4</v>
      </c>
      <c r="I4" s="1" t="s">
        <v>929</v>
      </c>
      <c r="K4">
        <v>-1</v>
      </c>
      <c r="M4" t="str">
        <f t="shared" si="0"/>
        <v>(6508733,'866dabc4-6501-44d2-a0e5-65da9c45a46e',TRUE,6508733,'3360100764683','รอน วีสลีย์','M','1994-12-24',-2,-1),</v>
      </c>
    </row>
    <row r="5" spans="1:13" x14ac:dyDescent="0.25">
      <c r="A5">
        <v>6512620</v>
      </c>
      <c r="B5" t="s">
        <v>0</v>
      </c>
      <c r="C5" t="b">
        <v>1</v>
      </c>
      <c r="D5">
        <v>6512620</v>
      </c>
      <c r="E5" s="1" t="s">
        <v>740</v>
      </c>
      <c r="F5" t="s">
        <v>902</v>
      </c>
      <c r="G5" t="s">
        <v>64</v>
      </c>
      <c r="H5" s="1" t="s">
        <v>5</v>
      </c>
      <c r="I5" s="1" t="s">
        <v>929</v>
      </c>
      <c r="K5">
        <v>-1</v>
      </c>
      <c r="M5" t="str">
        <f t="shared" si="0"/>
        <v>(6512620,'866dabc4-6501-44d2-a0e5-65da9c45a46e',TRUE,6512620,'3251000314521','จินนี่ วีสลีย์','F','1995-01-03',-2,-1),</v>
      </c>
    </row>
    <row r="6" spans="1:13" x14ac:dyDescent="0.25">
      <c r="A6">
        <v>6300865</v>
      </c>
      <c r="B6" t="s">
        <v>0</v>
      </c>
      <c r="C6" t="b">
        <v>1</v>
      </c>
      <c r="D6">
        <v>6300865</v>
      </c>
      <c r="E6" s="1" t="s">
        <v>741</v>
      </c>
      <c r="F6" t="s">
        <v>903</v>
      </c>
      <c r="G6" t="s">
        <v>63</v>
      </c>
      <c r="H6" s="1" t="s">
        <v>6</v>
      </c>
      <c r="I6" s="1" t="s">
        <v>929</v>
      </c>
      <c r="K6">
        <v>-1</v>
      </c>
      <c r="M6" t="str">
        <f t="shared" si="0"/>
        <v>(6300865,'866dabc4-6501-44d2-a0e5-65da9c45a46e',TRUE,6300865,'3251100436629','เฟร็ด วีสลีย์','M','1994-12-25',-2,-1),</v>
      </c>
    </row>
    <row r="7" spans="1:13" x14ac:dyDescent="0.25">
      <c r="A7">
        <v>6519635</v>
      </c>
      <c r="B7" t="s">
        <v>0</v>
      </c>
      <c r="C7" t="b">
        <v>1</v>
      </c>
      <c r="D7">
        <v>6519635</v>
      </c>
      <c r="E7" s="1" t="s">
        <v>742</v>
      </c>
      <c r="F7" t="s">
        <v>904</v>
      </c>
      <c r="G7" t="s">
        <v>63</v>
      </c>
      <c r="H7" s="1" t="s">
        <v>7</v>
      </c>
      <c r="I7" s="1" t="s">
        <v>929</v>
      </c>
      <c r="K7">
        <v>-1</v>
      </c>
      <c r="M7" t="str">
        <f t="shared" si="0"/>
        <v>(6519635,'866dabc4-6501-44d2-a0e5-65da9c45a46e',TRUE,6519635,'3209900248972','จอร์จ วีสลีย์','M','1995-01-04',-2,-1),</v>
      </c>
    </row>
    <row r="8" spans="1:13" x14ac:dyDescent="0.25">
      <c r="A8">
        <v>6521515</v>
      </c>
      <c r="B8" t="s">
        <v>0</v>
      </c>
      <c r="C8" t="b">
        <v>1</v>
      </c>
      <c r="D8">
        <v>6521515</v>
      </c>
      <c r="E8" s="1" t="s">
        <v>743</v>
      </c>
      <c r="F8" t="s">
        <v>905</v>
      </c>
      <c r="G8" t="s">
        <v>63</v>
      </c>
      <c r="H8" s="1" t="s">
        <v>8</v>
      </c>
      <c r="I8" s="1" t="s">
        <v>929</v>
      </c>
      <c r="K8">
        <v>-1</v>
      </c>
      <c r="M8" t="str">
        <f t="shared" si="0"/>
        <v>(6521515,'866dabc4-6501-44d2-a0e5-65da9c45a46e',TRUE,6521515,'1259700118769','เพอร์ซี่ วีสลีย์','M','1994-12-26',-2,-1),</v>
      </c>
    </row>
    <row r="9" spans="1:13" x14ac:dyDescent="0.25">
      <c r="A9">
        <v>6521637</v>
      </c>
      <c r="B9" t="s">
        <v>0</v>
      </c>
      <c r="C9" t="b">
        <v>1</v>
      </c>
      <c r="D9">
        <v>6521637</v>
      </c>
      <c r="E9" s="1" t="s">
        <v>744</v>
      </c>
      <c r="F9" t="s">
        <v>906</v>
      </c>
      <c r="G9" t="s">
        <v>63</v>
      </c>
      <c r="H9" s="1" t="s">
        <v>9</v>
      </c>
      <c r="I9" s="1" t="s">
        <v>929</v>
      </c>
      <c r="K9">
        <v>-1</v>
      </c>
      <c r="M9" t="str">
        <f t="shared" si="0"/>
        <v>(6521637,'866dabc4-6501-44d2-a0e5-65da9c45a46e',TRUE,6521637,'3200101356962','อาเธอร์ วีสลีย์','M','1995-01-05',-2,-1),</v>
      </c>
    </row>
    <row r="10" spans="1:13" x14ac:dyDescent="0.25">
      <c r="A10" t="s">
        <v>736</v>
      </c>
      <c r="B10" t="s">
        <v>0</v>
      </c>
      <c r="C10" t="b">
        <v>1</v>
      </c>
      <c r="D10" t="s">
        <v>736</v>
      </c>
      <c r="E10" s="1" t="s">
        <v>745</v>
      </c>
      <c r="F10" t="s">
        <v>907</v>
      </c>
      <c r="G10" t="s">
        <v>64</v>
      </c>
      <c r="H10" s="1" t="s">
        <v>10</v>
      </c>
      <c r="I10" s="1" t="s">
        <v>929</v>
      </c>
      <c r="K10">
        <v>-1</v>
      </c>
      <c r="M10" t="str">
        <f t="shared" si="0"/>
        <v>(49082/54,'866dabc4-6501-44d2-a0e5-65da9c45a46e',TRUE,49082/54,'3140100082339','มอลลี่ วีสลีย์','F','1994-12-27',-2,-1),</v>
      </c>
    </row>
    <row r="11" spans="1:13" x14ac:dyDescent="0.25">
      <c r="A11">
        <v>6602502</v>
      </c>
      <c r="B11" t="s">
        <v>0</v>
      </c>
      <c r="C11" t="b">
        <v>1</v>
      </c>
      <c r="D11">
        <v>6602502</v>
      </c>
      <c r="E11" s="1" t="s">
        <v>746</v>
      </c>
      <c r="F11" t="s">
        <v>908</v>
      </c>
      <c r="G11" t="s">
        <v>63</v>
      </c>
      <c r="H11" s="1" t="s">
        <v>11</v>
      </c>
      <c r="I11" s="1" t="s">
        <v>141</v>
      </c>
      <c r="K11">
        <v>-1</v>
      </c>
      <c r="M11" t="str">
        <f t="shared" si="0"/>
        <v>(6602502,'866dabc4-6501-44d2-a0e5-65da9c45a46e',TRUE,6602502,'2270100001500','เนวิลล์ ลองบัตท่อม','M','1995-01-06',-4,-1),</v>
      </c>
    </row>
    <row r="12" spans="1:13" x14ac:dyDescent="0.25">
      <c r="A12">
        <v>6603132</v>
      </c>
      <c r="B12" t="s">
        <v>0</v>
      </c>
      <c r="C12" t="b">
        <v>1</v>
      </c>
      <c r="D12">
        <v>6603132</v>
      </c>
      <c r="E12" s="1" t="s">
        <v>747</v>
      </c>
      <c r="F12" t="s">
        <v>909</v>
      </c>
      <c r="G12" t="s">
        <v>64</v>
      </c>
      <c r="H12" s="1" t="s">
        <v>12</v>
      </c>
      <c r="I12" s="1" t="s">
        <v>141</v>
      </c>
      <c r="K12">
        <v>-1</v>
      </c>
      <c r="M12" t="str">
        <f t="shared" si="0"/>
        <v>(6603132,'866dabc4-6501-44d2-a0e5-65da9c45a46e',TRUE,6603132,'5301700031064','ลูน่า เลิฟกู๊ด','F','1994-12-28',-4,-1),</v>
      </c>
    </row>
    <row r="13" spans="1:13" x14ac:dyDescent="0.25">
      <c r="A13">
        <v>5333974</v>
      </c>
      <c r="B13" t="s">
        <v>0</v>
      </c>
      <c r="C13" t="b">
        <v>1</v>
      </c>
      <c r="D13">
        <v>5333974</v>
      </c>
      <c r="E13" s="1" t="s">
        <v>748</v>
      </c>
      <c r="F13" t="s">
        <v>910</v>
      </c>
      <c r="G13" t="s">
        <v>64</v>
      </c>
      <c r="H13" s="1" t="s">
        <v>13</v>
      </c>
      <c r="I13" s="1" t="s">
        <v>141</v>
      </c>
      <c r="K13">
        <v>-1</v>
      </c>
      <c r="M13" t="str">
        <f t="shared" si="0"/>
        <v>(5333974,'866dabc4-6501-44d2-a0e5-65da9c45a46e',TRUE,5333974,'3200700272537','โช แชง','F','1995-01-07',-4,-1),</v>
      </c>
    </row>
    <row r="14" spans="1:13" x14ac:dyDescent="0.25">
      <c r="A14">
        <v>213860</v>
      </c>
      <c r="B14" t="s">
        <v>0</v>
      </c>
      <c r="C14" t="b">
        <v>1</v>
      </c>
      <c r="D14">
        <v>213860</v>
      </c>
      <c r="E14" s="1" t="s">
        <v>749</v>
      </c>
      <c r="F14" t="s">
        <v>911</v>
      </c>
      <c r="G14" t="s">
        <v>63</v>
      </c>
      <c r="H14" s="1" t="s">
        <v>14</v>
      </c>
      <c r="I14" s="1" t="s">
        <v>141</v>
      </c>
      <c r="K14">
        <v>-1</v>
      </c>
      <c r="M14" t="str">
        <f t="shared" si="0"/>
        <v>(213860,'866dabc4-6501-44d2-a0e5-65da9c45a46e',TRUE,213860,'3710500143011','ดัดลีย์ เดอร์สลีย์','M','1994-12-29',-4,-1),</v>
      </c>
    </row>
    <row r="15" spans="1:13" x14ac:dyDescent="0.25">
      <c r="A15">
        <v>48324</v>
      </c>
      <c r="B15" t="s">
        <v>0</v>
      </c>
      <c r="C15" t="b">
        <v>1</v>
      </c>
      <c r="D15">
        <v>48324</v>
      </c>
      <c r="E15" s="1" t="s">
        <v>750</v>
      </c>
      <c r="F15" t="s">
        <v>912</v>
      </c>
      <c r="G15" t="s">
        <v>63</v>
      </c>
      <c r="H15" s="1" t="s">
        <v>15</v>
      </c>
      <c r="I15" s="1" t="s">
        <v>141</v>
      </c>
      <c r="K15">
        <v>-1</v>
      </c>
      <c r="M15" t="str">
        <f t="shared" si="0"/>
        <v>(48324,'866dabc4-6501-44d2-a0e5-65da9c45a46e',TRUE,48324,'3259900149575','เวอร์นอน เดอร์สลีย์','M','1995-01-08',-4,-1),</v>
      </c>
    </row>
    <row r="16" spans="1:13" x14ac:dyDescent="0.25">
      <c r="A16">
        <v>670001117</v>
      </c>
      <c r="B16" t="s">
        <v>0</v>
      </c>
      <c r="C16" t="b">
        <v>1</v>
      </c>
      <c r="D16">
        <v>670001117</v>
      </c>
      <c r="E16" s="1" t="s">
        <v>751</v>
      </c>
      <c r="F16" t="s">
        <v>913</v>
      </c>
      <c r="G16" t="s">
        <v>64</v>
      </c>
      <c r="H16" s="1" t="s">
        <v>1</v>
      </c>
      <c r="I16" s="1" t="s">
        <v>141</v>
      </c>
      <c r="K16">
        <v>-1</v>
      </c>
      <c r="M16" t="str">
        <f t="shared" si="0"/>
        <v>(670001117,'866dabc4-6501-44d2-a0e5-65da9c45a46e',TRUE,670001117,'3250100583388','เพทูเนีย เดอร์สลีย์','F','2012-01-18',-4,-1),</v>
      </c>
    </row>
    <row r="17" spans="1:13" x14ac:dyDescent="0.25">
      <c r="A17">
        <v>6701952</v>
      </c>
      <c r="B17" t="s">
        <v>0</v>
      </c>
      <c r="C17" t="b">
        <v>1</v>
      </c>
      <c r="D17">
        <v>6701952</v>
      </c>
      <c r="E17" s="1" t="s">
        <v>752</v>
      </c>
      <c r="F17" t="s">
        <v>914</v>
      </c>
      <c r="G17" t="s">
        <v>63</v>
      </c>
      <c r="H17" s="1" t="s">
        <v>2</v>
      </c>
      <c r="I17" s="1" t="s">
        <v>141</v>
      </c>
      <c r="K17">
        <v>1</v>
      </c>
      <c r="M17" t="str">
        <f t="shared" si="0"/>
        <v>(6701952,'866dabc4-6501-44d2-a0e5-65da9c45a46e',TRUE,6701952,'3251000141325','ลอร์ดโวลเดอมอร์','M','1994-12-23',-4,1),</v>
      </c>
    </row>
    <row r="18" spans="1:13" x14ac:dyDescent="0.25">
      <c r="A18">
        <v>6702221</v>
      </c>
      <c r="B18" t="s">
        <v>0</v>
      </c>
      <c r="C18" t="b">
        <v>1</v>
      </c>
      <c r="D18">
        <v>6702221</v>
      </c>
      <c r="E18" s="1" t="s">
        <v>753</v>
      </c>
      <c r="F18" t="s">
        <v>915</v>
      </c>
      <c r="G18" t="s">
        <v>64</v>
      </c>
      <c r="H18" s="1" t="s">
        <v>3</v>
      </c>
      <c r="I18" s="1" t="s">
        <v>141</v>
      </c>
      <c r="K18">
        <v>1</v>
      </c>
      <c r="M18" t="str">
        <f t="shared" si="0"/>
        <v>(6702221,'866dabc4-6501-44d2-a0e5-65da9c45a46e',TRUE,6702221,'1250400165950','เบลลาทริกซ์ เลสแตรงจ์','F','1995-01-02',-4,1),</v>
      </c>
    </row>
    <row r="19" spans="1:13" x14ac:dyDescent="0.25">
      <c r="A19">
        <v>67030106</v>
      </c>
      <c r="B19" t="s">
        <v>0</v>
      </c>
      <c r="C19" t="b">
        <v>1</v>
      </c>
      <c r="D19">
        <v>67030106</v>
      </c>
      <c r="E19" s="1" t="s">
        <v>754</v>
      </c>
      <c r="F19" t="s">
        <v>916</v>
      </c>
      <c r="G19" t="s">
        <v>63</v>
      </c>
      <c r="H19" s="1" t="s">
        <v>4</v>
      </c>
      <c r="I19" s="1" t="s">
        <v>141</v>
      </c>
      <c r="K19">
        <v>1</v>
      </c>
      <c r="M19" t="str">
        <f t="shared" si="0"/>
        <v>(67030106,'866dabc4-6501-44d2-a0e5-65da9c45a46e',TRUE,67030106,'5270500000980','ลูเซียส มัลฟอย','M','1994-12-24',-4,1),</v>
      </c>
    </row>
    <row r="20" spans="1:13" x14ac:dyDescent="0.25">
      <c r="A20">
        <v>184706</v>
      </c>
      <c r="B20" t="s">
        <v>0</v>
      </c>
      <c r="C20" t="b">
        <v>1</v>
      </c>
      <c r="D20">
        <v>184706</v>
      </c>
      <c r="E20" s="1" t="s">
        <v>755</v>
      </c>
      <c r="F20" t="s">
        <v>917</v>
      </c>
      <c r="G20" t="s">
        <v>63</v>
      </c>
      <c r="H20" s="1" t="s">
        <v>5</v>
      </c>
      <c r="I20" s="1" t="s">
        <v>141</v>
      </c>
      <c r="K20">
        <v>1</v>
      </c>
      <c r="M20" t="str">
        <f t="shared" si="0"/>
        <v>(184706,'866dabc4-6501-44d2-a0e5-65da9c45a46e',TRUE,184706,'3250500209131','เดรโก มัลฟอย','M','1995-01-03',-4,1),</v>
      </c>
    </row>
    <row r="21" spans="1:13" x14ac:dyDescent="0.25">
      <c r="A21">
        <v>530323</v>
      </c>
      <c r="B21" t="s">
        <v>0</v>
      </c>
      <c r="C21" t="b">
        <v>1</v>
      </c>
      <c r="D21">
        <v>530323</v>
      </c>
      <c r="E21" s="1" t="s">
        <v>756</v>
      </c>
      <c r="F21" t="s">
        <v>918</v>
      </c>
      <c r="G21" t="s">
        <v>64</v>
      </c>
      <c r="H21" s="1" t="s">
        <v>6</v>
      </c>
      <c r="I21" s="1" t="s">
        <v>141</v>
      </c>
      <c r="K21">
        <v>1</v>
      </c>
      <c r="M21" t="str">
        <f t="shared" si="0"/>
        <v>(530323,'866dabc4-6501-44d2-a0e5-65da9c45a46e',TRUE,530323,'3310800115203','นาร์ซิสซา มัลฟอย','F','1994-12-25',-4,1),</v>
      </c>
    </row>
    <row r="22" spans="1:13" x14ac:dyDescent="0.25">
      <c r="A22">
        <v>6706476</v>
      </c>
      <c r="B22" t="s">
        <v>0</v>
      </c>
      <c r="C22" t="b">
        <v>1</v>
      </c>
      <c r="D22">
        <v>6706476</v>
      </c>
      <c r="E22" s="1" t="s">
        <v>757</v>
      </c>
      <c r="F22" t="s">
        <v>919</v>
      </c>
      <c r="G22" t="s">
        <v>63</v>
      </c>
      <c r="H22" s="1" t="s">
        <v>7</v>
      </c>
      <c r="I22" s="1" t="s">
        <v>141</v>
      </c>
      <c r="K22">
        <v>1</v>
      </c>
      <c r="M22" t="str">
        <f t="shared" si="0"/>
        <v>(6706476,'866dabc4-6501-44d2-a0e5-65da9c45a46e',TRUE,6706476,'1250500092211','ปีเตอร์ เพ็ตติกรูว์','M','1995-01-04',-4,1),</v>
      </c>
    </row>
    <row r="23" spans="1:13" x14ac:dyDescent="0.25">
      <c r="A23">
        <v>361343</v>
      </c>
      <c r="B23" t="s">
        <v>0</v>
      </c>
      <c r="C23" t="b">
        <v>1</v>
      </c>
      <c r="D23">
        <v>361343</v>
      </c>
      <c r="E23" s="1" t="s">
        <v>758</v>
      </c>
      <c r="F23" t="s">
        <v>920</v>
      </c>
      <c r="G23" t="s">
        <v>64</v>
      </c>
      <c r="H23" s="1" t="s">
        <v>8</v>
      </c>
      <c r="I23" s="1" t="s">
        <v>141</v>
      </c>
      <c r="K23">
        <v>1</v>
      </c>
      <c r="M23" t="str">
        <f t="shared" si="0"/>
        <v>(361343,'866dabc4-6501-44d2-a0e5-65da9c45a46e',TRUE,361343,'3190400117545','เฟนเรียร์ เกรย์แบ็ค','F','1994-12-26',-4,1),</v>
      </c>
    </row>
    <row r="24" spans="1:13" x14ac:dyDescent="0.25">
      <c r="A24">
        <v>6705071</v>
      </c>
      <c r="B24" t="s">
        <v>0</v>
      </c>
      <c r="C24" t="b">
        <v>1</v>
      </c>
      <c r="D24">
        <v>6705071</v>
      </c>
      <c r="E24" s="1" t="s">
        <v>759</v>
      </c>
      <c r="F24" t="s">
        <v>921</v>
      </c>
      <c r="G24" t="s">
        <v>64</v>
      </c>
      <c r="H24" s="1" t="s">
        <v>9</v>
      </c>
      <c r="I24" s="1" t="s">
        <v>141</v>
      </c>
      <c r="K24">
        <v>1</v>
      </c>
      <c r="M24" t="str">
        <f t="shared" si="0"/>
        <v>(6705071,'866dabc4-6501-44d2-a0e5-65da9c45a46e',TRUE,6705071,'3209600196055','บาร์ทีเมียส เคราช์ จูเนียร์','F','1995-01-05',-4,1),</v>
      </c>
    </row>
    <row r="25" spans="1:13" x14ac:dyDescent="0.25">
      <c r="A25">
        <v>6706961</v>
      </c>
      <c r="B25" t="s">
        <v>0</v>
      </c>
      <c r="C25" t="b">
        <v>1</v>
      </c>
      <c r="D25">
        <v>6706961</v>
      </c>
      <c r="E25" s="1" t="s">
        <v>760</v>
      </c>
      <c r="F25" t="s">
        <v>922</v>
      </c>
      <c r="G25" t="s">
        <v>63</v>
      </c>
      <c r="H25" s="1" t="s">
        <v>10</v>
      </c>
      <c r="I25" s="1" t="s">
        <v>140</v>
      </c>
      <c r="K25">
        <v>-1</v>
      </c>
      <c r="M25" t="str">
        <f t="shared" si="0"/>
        <v>(6706961,'866dabc4-6501-44d2-a0e5-65da9c45a46e',TRUE,6706961,'3190100267207','คอร์นีเลียส ฟัดจ์','M','1994-12-27',-3,-1),</v>
      </c>
    </row>
    <row r="26" spans="1:13" x14ac:dyDescent="0.25">
      <c r="A26">
        <v>6800002</v>
      </c>
      <c r="B26" t="s">
        <v>0</v>
      </c>
      <c r="C26" t="b">
        <v>1</v>
      </c>
      <c r="D26">
        <v>6800002</v>
      </c>
      <c r="E26" s="1" t="s">
        <v>761</v>
      </c>
      <c r="F26" t="s">
        <v>923</v>
      </c>
      <c r="G26" t="s">
        <v>63</v>
      </c>
      <c r="H26" s="1" t="s">
        <v>11</v>
      </c>
      <c r="I26" s="1" t="s">
        <v>140</v>
      </c>
      <c r="K26">
        <v>-1</v>
      </c>
      <c r="M26" t="str">
        <f t="shared" si="0"/>
        <v>(6800002,'866dabc4-6501-44d2-a0e5-65da9c45a46e',TRUE,6800002,'1470800109001','รูฟัส สคริมเจอร์','M','1995-01-06',-3,-1),</v>
      </c>
    </row>
    <row r="27" spans="1:13" x14ac:dyDescent="0.25">
      <c r="A27">
        <v>6800776</v>
      </c>
      <c r="B27" t="s">
        <v>0</v>
      </c>
      <c r="C27" t="b">
        <v>1</v>
      </c>
      <c r="D27">
        <v>6800776</v>
      </c>
      <c r="E27" s="1" t="s">
        <v>762</v>
      </c>
      <c r="F27" t="s">
        <v>924</v>
      </c>
      <c r="G27" t="s">
        <v>64</v>
      </c>
      <c r="H27" s="1" t="s">
        <v>12</v>
      </c>
      <c r="I27" s="1" t="s">
        <v>140</v>
      </c>
      <c r="K27">
        <v>-1</v>
      </c>
      <c r="M27" t="str">
        <f t="shared" si="0"/>
        <v>(6800776,'866dabc4-6501-44d2-a0e5-65da9c45a46e',TRUE,6800776,'3720600070342','โดโลเรส อัมบริดจ์','F','1994-12-28',-3,-1),</v>
      </c>
    </row>
    <row r="28" spans="1:13" x14ac:dyDescent="0.25">
      <c r="A28">
        <v>6802616</v>
      </c>
      <c r="B28" t="s">
        <v>0</v>
      </c>
      <c r="C28" t="b">
        <v>1</v>
      </c>
      <c r="D28">
        <v>6802616</v>
      </c>
      <c r="E28" s="1" t="s">
        <v>763</v>
      </c>
      <c r="F28" t="s">
        <v>925</v>
      </c>
      <c r="G28" t="s">
        <v>63</v>
      </c>
      <c r="H28" s="1" t="s">
        <v>14</v>
      </c>
      <c r="I28" s="1" t="s">
        <v>140</v>
      </c>
      <c r="K28">
        <v>-1</v>
      </c>
      <c r="M28" t="str">
        <f t="shared" si="0"/>
        <v>(6802616,'866dabc4-6501-44d2-a0e5-65da9c45a46e',TRUE,6802616,'3250500193331','กิลเดอรอย ล็อกฮาร์ต','M','1994-12-29',-3,-1),</v>
      </c>
    </row>
    <row r="29" spans="1:13" x14ac:dyDescent="0.25">
      <c r="A29">
        <v>6802588</v>
      </c>
      <c r="B29" t="s">
        <v>0</v>
      </c>
      <c r="C29" t="b">
        <v>1</v>
      </c>
      <c r="D29">
        <v>6802588</v>
      </c>
      <c r="E29" s="1" t="s">
        <v>764</v>
      </c>
      <c r="F29" t="s">
        <v>926</v>
      </c>
      <c r="G29" t="s">
        <v>63</v>
      </c>
      <c r="H29" s="1" t="s">
        <v>15</v>
      </c>
      <c r="I29" s="1" t="s">
        <v>140</v>
      </c>
      <c r="K29">
        <v>-1</v>
      </c>
      <c r="M29" t="str">
        <f t="shared" si="0"/>
        <v>(6802588,'866dabc4-6501-44d2-a0e5-65da9c45a46e',TRUE,6802588,'3250200554428','คิงส์ลีย์ ชัคเคิลโบลต์','M','1995-01-08',-3,-1),</v>
      </c>
    </row>
    <row r="30" spans="1:13" x14ac:dyDescent="0.25">
      <c r="A30">
        <v>6411508</v>
      </c>
      <c r="B30" t="s">
        <v>0</v>
      </c>
      <c r="C30" t="b">
        <v>1</v>
      </c>
      <c r="D30">
        <v>6411508</v>
      </c>
      <c r="E30" s="1" t="s">
        <v>765</v>
      </c>
      <c r="F30" t="s">
        <v>927</v>
      </c>
      <c r="G30" t="s">
        <v>64</v>
      </c>
      <c r="H30" s="1" t="s">
        <v>1</v>
      </c>
      <c r="I30" s="1" t="s">
        <v>140</v>
      </c>
      <c r="K30">
        <v>-1</v>
      </c>
      <c r="M30" t="str">
        <f t="shared" si="0"/>
        <v>(6411508,'866dabc4-6501-44d2-a0e5-65da9c45a46e',TRUE,6411508,'5130199018677','นิมฟาดอร่า ท็องก์ส','F','2012-01-18',-3,-1),</v>
      </c>
    </row>
    <row r="31" spans="1:13" x14ac:dyDescent="0.25">
      <c r="A31">
        <v>6802740</v>
      </c>
      <c r="B31" t="s">
        <v>0</v>
      </c>
      <c r="C31" t="b">
        <v>1</v>
      </c>
      <c r="D31">
        <v>6802740</v>
      </c>
      <c r="E31" s="1" t="s">
        <v>766</v>
      </c>
      <c r="F31" t="s">
        <v>928</v>
      </c>
      <c r="G31" t="s">
        <v>63</v>
      </c>
      <c r="H31" s="1" t="s">
        <v>2</v>
      </c>
      <c r="I31" s="1" t="s">
        <v>140</v>
      </c>
      <c r="K31">
        <v>-1</v>
      </c>
      <c r="M31" t="str">
        <f>_xlfn.CONCAT("(",A31,",'",B31,"',",C31,",",D31,",'",E31,"','",F31,"','",G31,"','",H31,"',",I31,",",K31,");")</f>
        <v>(6802740,'866dabc4-6501-44d2-a0e5-65da9c45a46e',TRUE,6802740,'3259700104471','มาด-อาย มู้ดดี้','M','1994-12-23',-3,-1);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8385-4AB3-4980-B151-2B1E25CA04ED}">
  <sheetPr>
    <tabColor rgb="FFFFC000"/>
  </sheetPr>
  <dimension ref="A1:AU34"/>
  <sheetViews>
    <sheetView workbookViewId="0">
      <selection activeCell="D11" sqref="D11:S28"/>
    </sheetView>
  </sheetViews>
  <sheetFormatPr defaultRowHeight="15" x14ac:dyDescent="0.25"/>
  <cols>
    <col min="1" max="1" width="37" bestFit="1" customWidth="1"/>
    <col min="2" max="2" width="28.140625" bestFit="1" customWidth="1"/>
    <col min="3" max="3" width="37.28515625" bestFit="1" customWidth="1"/>
    <col min="4" max="4" width="28.140625" bestFit="1" customWidth="1"/>
    <col min="5" max="5" width="37.28515625" bestFit="1" customWidth="1"/>
    <col min="6" max="6" width="8" bestFit="1" customWidth="1"/>
    <col min="8" max="8" width="10.5703125" bestFit="1" customWidth="1"/>
    <col min="9" max="9" width="6.140625" bestFit="1" customWidth="1"/>
    <col min="10" max="13" width="2.28515625" style="7" customWidth="1"/>
    <col min="14" max="14" width="10.42578125" bestFit="1" customWidth="1"/>
    <col min="15" max="15" width="2.28515625" style="7" customWidth="1"/>
    <col min="16" max="16" width="10.42578125" bestFit="1" customWidth="1"/>
    <col min="17" max="18" width="2" style="7" customWidth="1"/>
    <col min="19" max="19" width="10.5703125" style="1" bestFit="1" customWidth="1"/>
    <col min="20" max="45" width="1.140625" style="7" customWidth="1"/>
    <col min="47" max="47" width="212.85546875" style="2" bestFit="1" customWidth="1"/>
  </cols>
  <sheetData>
    <row r="1" spans="1:47" s="8" customFormat="1" x14ac:dyDescent="0.25">
      <c r="A1" s="8" t="s">
        <v>16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8" t="s">
        <v>75</v>
      </c>
      <c r="M1" s="8" t="s">
        <v>76</v>
      </c>
      <c r="N1" s="8" t="s">
        <v>77</v>
      </c>
      <c r="O1" s="8" t="s">
        <v>78</v>
      </c>
      <c r="P1" s="8" t="s">
        <v>79</v>
      </c>
      <c r="Q1" s="8" t="s">
        <v>80</v>
      </c>
      <c r="R1" s="8" t="s">
        <v>81</v>
      </c>
      <c r="S1" s="10" t="s">
        <v>82</v>
      </c>
      <c r="T1" s="8" t="s">
        <v>83</v>
      </c>
      <c r="U1" s="8" t="s">
        <v>84</v>
      </c>
      <c r="V1" s="8" t="s">
        <v>85</v>
      </c>
      <c r="W1" s="8" t="s">
        <v>86</v>
      </c>
      <c r="X1" s="8" t="s">
        <v>87</v>
      </c>
      <c r="Y1" s="8" t="s">
        <v>88</v>
      </c>
      <c r="Z1" s="8" t="s">
        <v>89</v>
      </c>
      <c r="AA1" s="8" t="s">
        <v>90</v>
      </c>
      <c r="AB1" s="8" t="s">
        <v>91</v>
      </c>
      <c r="AC1" s="8" t="s">
        <v>92</v>
      </c>
      <c r="AD1" s="8" t="s">
        <v>93</v>
      </c>
      <c r="AE1" s="8" t="s">
        <v>94</v>
      </c>
      <c r="AF1" s="8" t="s">
        <v>95</v>
      </c>
      <c r="AG1" s="8" t="s">
        <v>96</v>
      </c>
      <c r="AH1" s="8" t="s">
        <v>97</v>
      </c>
      <c r="AI1" s="8" t="s">
        <v>98</v>
      </c>
      <c r="AJ1" s="8" t="s">
        <v>99</v>
      </c>
      <c r="AK1" s="8" t="s">
        <v>100</v>
      </c>
      <c r="AL1" s="8" t="s">
        <v>101</v>
      </c>
      <c r="AM1" s="8" t="s">
        <v>102</v>
      </c>
      <c r="AN1" s="8" t="s">
        <v>103</v>
      </c>
      <c r="AO1" s="8" t="s">
        <v>104</v>
      </c>
      <c r="AP1" s="8" t="s">
        <v>105</v>
      </c>
      <c r="AQ1" s="8" t="s">
        <v>106</v>
      </c>
      <c r="AR1" s="8" t="s">
        <v>107</v>
      </c>
      <c r="AS1" s="8" t="s">
        <v>108</v>
      </c>
      <c r="AU1" s="9"/>
    </row>
    <row r="2" spans="1:47" x14ac:dyDescent="0.25">
      <c r="A2" t="s">
        <v>109</v>
      </c>
      <c r="B2" t="s">
        <v>110</v>
      </c>
      <c r="C2" t="s">
        <v>0</v>
      </c>
      <c r="D2" t="s">
        <v>110</v>
      </c>
      <c r="E2" t="s">
        <v>0</v>
      </c>
      <c r="F2" t="b">
        <v>1</v>
      </c>
      <c r="G2">
        <v>101</v>
      </c>
      <c r="H2" t="b">
        <v>0</v>
      </c>
      <c r="I2">
        <v>3</v>
      </c>
      <c r="N2">
        <v>34</v>
      </c>
      <c r="P2">
        <v>23</v>
      </c>
      <c r="S2" s="1" t="s">
        <v>137</v>
      </c>
      <c r="AU2" s="2" t="str">
        <f>_xlfn.CONCAT("('",A2,"','",B2,"','",C2,"','",D2,"','",E2,"',",F2,",",G2,",",H2,",",I2,",",N2,",",P2,",'",S2,"'),")</f>
        <v>('b25379c3-dc0d-4791-b222-a6354fa53b5d','2025-03-16 03:00:05.236692+00','866dabc4-6501-44d2-a0e5-65da9c45a46e','2025-03-16 03:00:05.236692+00','866dabc4-6501-44d2-a0e5-65da9c45a46e',TRUE,101,FALSE,3,34,23,'4:05:00'),</v>
      </c>
    </row>
    <row r="3" spans="1:47" x14ac:dyDescent="0.25">
      <c r="A3" t="s">
        <v>111</v>
      </c>
      <c r="B3" t="s">
        <v>110</v>
      </c>
      <c r="C3" t="s">
        <v>0</v>
      </c>
      <c r="D3" t="s">
        <v>110</v>
      </c>
      <c r="E3" t="s">
        <v>0</v>
      </c>
      <c r="F3" t="b">
        <v>1</v>
      </c>
      <c r="G3">
        <v>102</v>
      </c>
      <c r="H3" t="b">
        <v>0</v>
      </c>
      <c r="I3">
        <v>3</v>
      </c>
      <c r="N3">
        <v>34</v>
      </c>
      <c r="P3">
        <v>23</v>
      </c>
      <c r="S3" s="1" t="s">
        <v>137</v>
      </c>
      <c r="AU3" s="2" t="str">
        <f t="shared" ref="AU3:AU29" si="0">_xlfn.CONCAT("('",A3,"','",B3,"','",C3,"','",D3,"','",E3,"',",F3,",",G3,",",H3,",",I3,",",N3,",",P3,",'",S3,"'),")</f>
        <v>('3e8b2a4d-f06c-4b74-873a-6a1f56e9b5df','2025-03-16 03:00:05.236692+00','866dabc4-6501-44d2-a0e5-65da9c45a46e','2025-03-16 03:00:05.236692+00','866dabc4-6501-44d2-a0e5-65da9c45a46e',TRUE,102,FALSE,3,34,23,'4:05:00'),</v>
      </c>
    </row>
    <row r="4" spans="1:47" x14ac:dyDescent="0.25">
      <c r="A4" t="s">
        <v>112</v>
      </c>
      <c r="B4" t="s">
        <v>110</v>
      </c>
      <c r="C4" t="s">
        <v>0</v>
      </c>
      <c r="D4" t="s">
        <v>110</v>
      </c>
      <c r="E4" t="s">
        <v>0</v>
      </c>
      <c r="F4" t="b">
        <v>1</v>
      </c>
      <c r="G4">
        <v>103</v>
      </c>
      <c r="H4" t="b">
        <v>0</v>
      </c>
      <c r="I4">
        <v>3</v>
      </c>
      <c r="N4">
        <v>34</v>
      </c>
      <c r="P4">
        <v>23</v>
      </c>
      <c r="S4" s="1" t="s">
        <v>137</v>
      </c>
      <c r="AU4" s="2" t="str">
        <f t="shared" si="0"/>
        <v>('f9b4d3c2-7a59-4b1a-89b0-14a3c04bfae2','2025-03-16 03:00:05.236692+00','866dabc4-6501-44d2-a0e5-65da9c45a46e','2025-03-16 03:00:05.236692+00','866dabc4-6501-44d2-a0e5-65da9c45a46e',TRUE,103,FALSE,3,34,23,'4:05:00'),</v>
      </c>
    </row>
    <row r="5" spans="1:47" x14ac:dyDescent="0.25">
      <c r="A5" t="s">
        <v>113</v>
      </c>
      <c r="B5" t="s">
        <v>110</v>
      </c>
      <c r="C5" t="s">
        <v>0</v>
      </c>
      <c r="D5" t="s">
        <v>110</v>
      </c>
      <c r="E5" t="s">
        <v>0</v>
      </c>
      <c r="F5" t="b">
        <v>1</v>
      </c>
      <c r="G5">
        <v>104</v>
      </c>
      <c r="H5" t="b">
        <v>0</v>
      </c>
      <c r="I5">
        <v>3</v>
      </c>
      <c r="N5">
        <v>34</v>
      </c>
      <c r="P5">
        <v>23</v>
      </c>
      <c r="S5" s="1" t="s">
        <v>137</v>
      </c>
      <c r="AU5" s="2" t="str">
        <f t="shared" si="0"/>
        <v>('2c4a8f97-3d71-40e7-a8c4-28bcbfc23b35','2025-03-16 03:00:05.236692+00','866dabc4-6501-44d2-a0e5-65da9c45a46e','2025-03-16 03:00:05.236692+00','866dabc4-6501-44d2-a0e5-65da9c45a46e',TRUE,104,FALSE,3,34,23,'4:05:00'),</v>
      </c>
    </row>
    <row r="6" spans="1:47" x14ac:dyDescent="0.25">
      <c r="A6" t="s">
        <v>114</v>
      </c>
      <c r="B6" t="s">
        <v>110</v>
      </c>
      <c r="C6" t="s">
        <v>0</v>
      </c>
      <c r="D6" t="s">
        <v>110</v>
      </c>
      <c r="E6" t="s">
        <v>0</v>
      </c>
      <c r="F6" t="b">
        <v>1</v>
      </c>
      <c r="G6">
        <v>105</v>
      </c>
      <c r="H6" t="b">
        <v>0</v>
      </c>
      <c r="I6">
        <v>3</v>
      </c>
      <c r="N6">
        <v>34</v>
      </c>
      <c r="P6">
        <v>23</v>
      </c>
      <c r="S6" s="1" t="s">
        <v>137</v>
      </c>
      <c r="AU6" s="2" t="str">
        <f t="shared" si="0"/>
        <v>('7b152e30-0c4f-41d1-a637-84ebad5a8579','2025-03-16 03:00:05.236692+00','866dabc4-6501-44d2-a0e5-65da9c45a46e','2025-03-16 03:00:05.236692+00','866dabc4-6501-44d2-a0e5-65da9c45a46e',TRUE,105,FALSE,3,34,23,'4:05:00'),</v>
      </c>
    </row>
    <row r="7" spans="1:47" x14ac:dyDescent="0.25">
      <c r="A7" t="s">
        <v>115</v>
      </c>
      <c r="B7" t="s">
        <v>110</v>
      </c>
      <c r="C7" t="s">
        <v>0</v>
      </c>
      <c r="D7" t="s">
        <v>110</v>
      </c>
      <c r="E7" t="s">
        <v>0</v>
      </c>
      <c r="F7" t="b">
        <v>1</v>
      </c>
      <c r="G7">
        <v>106</v>
      </c>
      <c r="H7" t="b">
        <v>0</v>
      </c>
      <c r="I7">
        <v>3</v>
      </c>
      <c r="N7">
        <v>34</v>
      </c>
      <c r="P7">
        <v>23</v>
      </c>
      <c r="S7" s="1" t="s">
        <v>137</v>
      </c>
      <c r="AU7" s="2" t="str">
        <f t="shared" si="0"/>
        <v>('94d93217-19d0-43c5-b0da-8c4a3741c771','2025-03-16 03:00:05.236692+00','866dabc4-6501-44d2-a0e5-65da9c45a46e','2025-03-16 03:00:05.236692+00','866dabc4-6501-44d2-a0e5-65da9c45a46e',TRUE,106,FALSE,3,34,23,'4:05:00'),</v>
      </c>
    </row>
    <row r="8" spans="1:47" x14ac:dyDescent="0.25">
      <c r="A8" t="s">
        <v>116</v>
      </c>
      <c r="B8" t="s">
        <v>110</v>
      </c>
      <c r="C8" t="s">
        <v>0</v>
      </c>
      <c r="D8" t="s">
        <v>110</v>
      </c>
      <c r="E8" t="s">
        <v>0</v>
      </c>
      <c r="F8" t="b">
        <v>1</v>
      </c>
      <c r="G8">
        <v>107</v>
      </c>
      <c r="H8" t="b">
        <v>0</v>
      </c>
      <c r="I8">
        <v>3</v>
      </c>
      <c r="N8">
        <v>34</v>
      </c>
      <c r="P8">
        <v>23</v>
      </c>
      <c r="S8" s="1" t="s">
        <v>137</v>
      </c>
      <c r="AU8" s="2" t="str">
        <f t="shared" si="0"/>
        <v>('c3e452d6-6f1e-4b9d-8c68-5f24d0e73945','2025-03-16 03:00:05.236692+00','866dabc4-6501-44d2-a0e5-65da9c45a46e','2025-03-16 03:00:05.236692+00','866dabc4-6501-44d2-a0e5-65da9c45a46e',TRUE,107,FALSE,3,34,23,'4:05:00'),</v>
      </c>
    </row>
    <row r="9" spans="1:47" x14ac:dyDescent="0.25">
      <c r="A9" t="s">
        <v>117</v>
      </c>
      <c r="B9" t="s">
        <v>110</v>
      </c>
      <c r="C9" t="s">
        <v>0</v>
      </c>
      <c r="D9" t="s">
        <v>110</v>
      </c>
      <c r="E9" t="s">
        <v>0</v>
      </c>
      <c r="F9" t="b">
        <v>1</v>
      </c>
      <c r="G9">
        <v>108</v>
      </c>
      <c r="H9" t="b">
        <v>0</v>
      </c>
      <c r="I9">
        <v>3</v>
      </c>
      <c r="N9">
        <v>34</v>
      </c>
      <c r="P9">
        <v>23</v>
      </c>
      <c r="S9" s="1" t="s">
        <v>137</v>
      </c>
      <c r="AU9" s="2" t="str">
        <f t="shared" si="0"/>
        <v>('67f8239d-a7ea-4efb-b14c-6b8c8e64bcd4','2025-03-16 03:00:05.236692+00','866dabc4-6501-44d2-a0e5-65da9c45a46e','2025-03-16 03:00:05.236692+00','866dabc4-6501-44d2-a0e5-65da9c45a46e',TRUE,108,FALSE,3,34,23,'4:05:00'),</v>
      </c>
    </row>
    <row r="10" spans="1:47" x14ac:dyDescent="0.25">
      <c r="A10" t="s">
        <v>118</v>
      </c>
      <c r="B10" t="s">
        <v>110</v>
      </c>
      <c r="C10" t="s">
        <v>0</v>
      </c>
      <c r="D10" t="s">
        <v>110</v>
      </c>
      <c r="E10" t="s">
        <v>0</v>
      </c>
      <c r="F10" t="b">
        <v>1</v>
      </c>
      <c r="G10">
        <v>109</v>
      </c>
      <c r="H10" t="b">
        <v>0</v>
      </c>
      <c r="I10">
        <v>3</v>
      </c>
      <c r="N10">
        <v>34</v>
      </c>
      <c r="P10">
        <v>23</v>
      </c>
      <c r="S10" s="1" t="s">
        <v>137</v>
      </c>
      <c r="AU10" s="2" t="str">
        <f t="shared" si="0"/>
        <v>('d5294cb9-3161-4149-8f02-89f3f9f7d6b4','2025-03-16 03:00:05.236692+00','866dabc4-6501-44d2-a0e5-65da9c45a46e','2025-03-16 03:00:05.236692+00','866dabc4-6501-44d2-a0e5-65da9c45a46e',TRUE,109,FALSE,3,34,23,'4:05:00'),</v>
      </c>
    </row>
    <row r="11" spans="1:47" x14ac:dyDescent="0.25">
      <c r="A11" t="s">
        <v>119</v>
      </c>
      <c r="B11" t="s">
        <v>110</v>
      </c>
      <c r="C11" t="s">
        <v>0</v>
      </c>
      <c r="D11" t="s">
        <v>110</v>
      </c>
      <c r="E11" t="s">
        <v>0</v>
      </c>
      <c r="F11" t="b">
        <v>1</v>
      </c>
      <c r="G11">
        <v>110</v>
      </c>
      <c r="H11" t="b">
        <v>0</v>
      </c>
      <c r="I11">
        <v>3</v>
      </c>
      <c r="N11">
        <v>34</v>
      </c>
      <c r="P11">
        <v>23</v>
      </c>
      <c r="S11" s="1" t="s">
        <v>137</v>
      </c>
      <c r="AU11" s="2" t="str">
        <f t="shared" si="0"/>
        <v>('b5c2a478-fb4e-43d5-b601-c426fb8a906c','2025-03-16 03:00:05.236692+00','866dabc4-6501-44d2-a0e5-65da9c45a46e','2025-03-16 03:00:05.236692+00','866dabc4-6501-44d2-a0e5-65da9c45a46e',TRUE,110,FALSE,3,34,23,'4:05:00'),</v>
      </c>
    </row>
    <row r="12" spans="1:47" x14ac:dyDescent="0.25">
      <c r="A12" t="s">
        <v>120</v>
      </c>
      <c r="B12" t="s">
        <v>110</v>
      </c>
      <c r="C12" t="s">
        <v>0</v>
      </c>
      <c r="D12" t="s">
        <v>110</v>
      </c>
      <c r="E12" t="s">
        <v>0</v>
      </c>
      <c r="F12" t="b">
        <v>1</v>
      </c>
      <c r="G12">
        <v>111</v>
      </c>
      <c r="H12" t="b">
        <v>0</v>
      </c>
      <c r="I12">
        <v>3</v>
      </c>
      <c r="N12">
        <v>34</v>
      </c>
      <c r="P12">
        <v>23</v>
      </c>
      <c r="S12" s="1" t="s">
        <v>137</v>
      </c>
      <c r="AU12" s="2" t="str">
        <f t="shared" si="0"/>
        <v>('1d5e0a8b-76f7-46cd-9e47-2eb7f98f47e2','2025-03-16 03:00:05.236692+00','866dabc4-6501-44d2-a0e5-65da9c45a46e','2025-03-16 03:00:05.236692+00','866dabc4-6501-44d2-a0e5-65da9c45a46e',TRUE,111,FALSE,3,34,23,'4:05:00'),</v>
      </c>
    </row>
    <row r="13" spans="1:47" x14ac:dyDescent="0.25">
      <c r="A13" t="s">
        <v>121</v>
      </c>
      <c r="B13" t="s">
        <v>110</v>
      </c>
      <c r="C13" t="s">
        <v>0</v>
      </c>
      <c r="D13" t="s">
        <v>110</v>
      </c>
      <c r="E13" t="s">
        <v>0</v>
      </c>
      <c r="F13" t="b">
        <v>1</v>
      </c>
      <c r="G13">
        <v>112</v>
      </c>
      <c r="H13" t="b">
        <v>0</v>
      </c>
      <c r="I13">
        <v>3</v>
      </c>
      <c r="N13">
        <v>34</v>
      </c>
      <c r="P13">
        <v>23</v>
      </c>
      <c r="S13" s="1" t="s">
        <v>137</v>
      </c>
      <c r="AU13" s="2" t="str">
        <f t="shared" si="0"/>
        <v>('a09c56df-c477-4a3f-a905-7392d3f6cb4f','2025-03-16 03:00:05.236692+00','866dabc4-6501-44d2-a0e5-65da9c45a46e','2025-03-16 03:00:05.236692+00','866dabc4-6501-44d2-a0e5-65da9c45a46e',TRUE,112,FALSE,3,34,23,'4:05:00'),</v>
      </c>
    </row>
    <row r="14" spans="1:47" x14ac:dyDescent="0.25">
      <c r="A14" t="s">
        <v>122</v>
      </c>
      <c r="B14" t="s">
        <v>110</v>
      </c>
      <c r="C14" t="s">
        <v>0</v>
      </c>
      <c r="D14" t="s">
        <v>110</v>
      </c>
      <c r="E14" t="s">
        <v>0</v>
      </c>
      <c r="F14" t="b">
        <v>1</v>
      </c>
      <c r="G14">
        <v>113</v>
      </c>
      <c r="H14" t="b">
        <v>0</v>
      </c>
      <c r="I14">
        <v>3</v>
      </c>
      <c r="N14">
        <v>34</v>
      </c>
      <c r="P14">
        <v>23</v>
      </c>
      <c r="S14" s="1" t="s">
        <v>137</v>
      </c>
      <c r="AU14" s="2" t="str">
        <f t="shared" si="0"/>
        <v>('5c1f407e-46b8-4092-8be1-22708b3e3d3b','2025-03-16 03:00:05.236692+00','866dabc4-6501-44d2-a0e5-65da9c45a46e','2025-03-16 03:00:05.236692+00','866dabc4-6501-44d2-a0e5-65da9c45a46e',TRUE,113,FALSE,3,34,23,'4:05:00'),</v>
      </c>
    </row>
    <row r="15" spans="1:47" x14ac:dyDescent="0.25">
      <c r="A15" t="s">
        <v>123</v>
      </c>
      <c r="B15" t="s">
        <v>110</v>
      </c>
      <c r="C15" t="s">
        <v>0</v>
      </c>
      <c r="D15" t="s">
        <v>110</v>
      </c>
      <c r="E15" t="s">
        <v>0</v>
      </c>
      <c r="F15" t="b">
        <v>1</v>
      </c>
      <c r="G15">
        <v>114</v>
      </c>
      <c r="H15" t="b">
        <v>0</v>
      </c>
      <c r="I15">
        <v>3</v>
      </c>
      <c r="N15">
        <v>34</v>
      </c>
      <c r="P15">
        <v>23</v>
      </c>
      <c r="S15" s="1" t="s">
        <v>137</v>
      </c>
      <c r="AU15" s="2" t="str">
        <f t="shared" si="0"/>
        <v>('e3b9f574-66f6-4021-a26d-7cb5b9f77d3b','2025-03-16 03:00:05.236692+00','866dabc4-6501-44d2-a0e5-65da9c45a46e','2025-03-16 03:00:05.236692+00','866dabc4-6501-44d2-a0e5-65da9c45a46e',TRUE,114,FALSE,3,34,23,'4:05:00'),</v>
      </c>
    </row>
    <row r="16" spans="1:47" x14ac:dyDescent="0.25">
      <c r="A16" t="s">
        <v>124</v>
      </c>
      <c r="B16" t="s">
        <v>110</v>
      </c>
      <c r="C16" t="s">
        <v>0</v>
      </c>
      <c r="D16" t="s">
        <v>110</v>
      </c>
      <c r="E16" t="s">
        <v>0</v>
      </c>
      <c r="F16" t="b">
        <v>1</v>
      </c>
      <c r="G16">
        <v>115</v>
      </c>
      <c r="H16" t="b">
        <v>0</v>
      </c>
      <c r="I16">
        <v>3</v>
      </c>
      <c r="N16">
        <v>34</v>
      </c>
      <c r="P16">
        <v>23</v>
      </c>
      <c r="S16" s="1" t="s">
        <v>137</v>
      </c>
      <c r="AU16" s="2" t="str">
        <f t="shared" si="0"/>
        <v>('33a8c5f4-d2fc-4f67-8a43-2fb2c9d826d4','2025-03-16 03:00:05.236692+00','866dabc4-6501-44d2-a0e5-65da9c45a46e','2025-03-16 03:00:05.236692+00','866dabc4-6501-44d2-a0e5-65da9c45a46e',TRUE,115,FALSE,3,34,23,'4:05:00'),</v>
      </c>
    </row>
    <row r="17" spans="1:47" x14ac:dyDescent="0.25">
      <c r="A17" t="s">
        <v>125</v>
      </c>
      <c r="B17" t="s">
        <v>110</v>
      </c>
      <c r="C17" t="s">
        <v>0</v>
      </c>
      <c r="D17" t="s">
        <v>110</v>
      </c>
      <c r="E17" t="s">
        <v>0</v>
      </c>
      <c r="F17" t="b">
        <v>1</v>
      </c>
      <c r="G17">
        <v>116</v>
      </c>
      <c r="H17" t="b">
        <v>0</v>
      </c>
      <c r="I17">
        <v>3</v>
      </c>
      <c r="N17">
        <v>34</v>
      </c>
      <c r="P17">
        <v>23</v>
      </c>
      <c r="S17" s="1" t="s">
        <v>137</v>
      </c>
      <c r="AU17" s="2" t="str">
        <f t="shared" si="0"/>
        <v>('b7ef23c9-043e-4a47-a68f-7123f9a27584','2025-03-16 03:00:05.236692+00','866dabc4-6501-44d2-a0e5-65da9c45a46e','2025-03-16 03:00:05.236692+00','866dabc4-6501-44d2-a0e5-65da9c45a46e',TRUE,116,FALSE,3,34,23,'4:05:00'),</v>
      </c>
    </row>
    <row r="18" spans="1:47" x14ac:dyDescent="0.25">
      <c r="A18" t="s">
        <v>126</v>
      </c>
      <c r="B18" t="s">
        <v>110</v>
      </c>
      <c r="C18" t="s">
        <v>0</v>
      </c>
      <c r="D18" t="s">
        <v>110</v>
      </c>
      <c r="E18" t="s">
        <v>0</v>
      </c>
      <c r="F18" t="b">
        <v>1</v>
      </c>
      <c r="G18">
        <v>117</v>
      </c>
      <c r="H18" t="b">
        <v>0</v>
      </c>
      <c r="I18">
        <v>3</v>
      </c>
      <c r="N18">
        <v>34</v>
      </c>
      <c r="P18">
        <v>23</v>
      </c>
      <c r="S18" s="1" t="s">
        <v>137</v>
      </c>
      <c r="AU18" s="2" t="str">
        <f t="shared" si="0"/>
        <v>('728de94d-48b4-4cf3-a10b-0f75cde7b7d6','2025-03-16 03:00:05.236692+00','866dabc4-6501-44d2-a0e5-65da9c45a46e','2025-03-16 03:00:05.236692+00','866dabc4-6501-44d2-a0e5-65da9c45a46e',TRUE,117,FALSE,3,34,23,'4:05:00'),</v>
      </c>
    </row>
    <row r="19" spans="1:47" x14ac:dyDescent="0.25">
      <c r="A19" t="s">
        <v>127</v>
      </c>
      <c r="B19" t="s">
        <v>110</v>
      </c>
      <c r="C19" t="s">
        <v>0</v>
      </c>
      <c r="D19" t="s">
        <v>110</v>
      </c>
      <c r="E19" t="s">
        <v>0</v>
      </c>
      <c r="F19" t="b">
        <v>1</v>
      </c>
      <c r="G19">
        <v>118</v>
      </c>
      <c r="H19" t="b">
        <v>0</v>
      </c>
      <c r="I19">
        <v>3</v>
      </c>
      <c r="N19">
        <v>34</v>
      </c>
      <c r="P19">
        <v>23</v>
      </c>
      <c r="S19" s="1" t="s">
        <v>137</v>
      </c>
      <c r="AU19" s="2" t="str">
        <f t="shared" si="0"/>
        <v>('196c3eb2-62ff-4568-9311-7cd24b1e5d92','2025-03-16 03:00:05.236692+00','866dabc4-6501-44d2-a0e5-65da9c45a46e','2025-03-16 03:00:05.236692+00','866dabc4-6501-44d2-a0e5-65da9c45a46e',TRUE,118,FALSE,3,34,23,'4:05:00'),</v>
      </c>
    </row>
    <row r="20" spans="1:47" x14ac:dyDescent="0.25">
      <c r="A20" t="s">
        <v>128</v>
      </c>
      <c r="B20" t="s">
        <v>110</v>
      </c>
      <c r="C20" t="s">
        <v>0</v>
      </c>
      <c r="D20" t="s">
        <v>110</v>
      </c>
      <c r="E20" t="s">
        <v>0</v>
      </c>
      <c r="F20" t="b">
        <v>1</v>
      </c>
      <c r="G20">
        <v>119</v>
      </c>
      <c r="H20" t="b">
        <v>0</v>
      </c>
      <c r="I20">
        <v>3</v>
      </c>
      <c r="N20">
        <v>34</v>
      </c>
      <c r="P20">
        <v>23</v>
      </c>
      <c r="S20" s="1" t="s">
        <v>137</v>
      </c>
      <c r="AU20" s="2" t="str">
        <f t="shared" si="0"/>
        <v>('c1bfa478-7ea9-44cd-8fd3-1a4d9f0c8e37','2025-03-16 03:00:05.236692+00','866dabc4-6501-44d2-a0e5-65da9c45a46e','2025-03-16 03:00:05.236692+00','866dabc4-6501-44d2-a0e5-65da9c45a46e',TRUE,119,FALSE,3,34,23,'4:05:00'),</v>
      </c>
    </row>
    <row r="21" spans="1:47" x14ac:dyDescent="0.25">
      <c r="A21" t="s">
        <v>129</v>
      </c>
      <c r="B21" t="s">
        <v>110</v>
      </c>
      <c r="C21" t="s">
        <v>0</v>
      </c>
      <c r="D21" t="s">
        <v>110</v>
      </c>
      <c r="E21" t="s">
        <v>0</v>
      </c>
      <c r="F21" t="b">
        <v>1</v>
      </c>
      <c r="G21">
        <v>120</v>
      </c>
      <c r="H21" t="b">
        <v>0</v>
      </c>
      <c r="I21">
        <v>3</v>
      </c>
      <c r="N21">
        <v>34</v>
      </c>
      <c r="P21">
        <v>23</v>
      </c>
      <c r="S21" s="1" t="s">
        <v>137</v>
      </c>
      <c r="AU21" s="2" t="str">
        <f t="shared" si="0"/>
        <v>('2e0f95c1-8bda-40d9-8497-5fd5cdce7284','2025-03-16 03:00:05.236692+00','866dabc4-6501-44d2-a0e5-65da9c45a46e','2025-03-16 03:00:05.236692+00','866dabc4-6501-44d2-a0e5-65da9c45a46e',TRUE,120,FALSE,3,34,23,'4:05:00'),</v>
      </c>
    </row>
    <row r="22" spans="1:47" x14ac:dyDescent="0.25">
      <c r="A22" t="s">
        <v>130</v>
      </c>
      <c r="B22" t="s">
        <v>110</v>
      </c>
      <c r="C22" t="s">
        <v>0</v>
      </c>
      <c r="D22" t="s">
        <v>110</v>
      </c>
      <c r="E22" t="s">
        <v>0</v>
      </c>
      <c r="F22" t="b">
        <v>1</v>
      </c>
      <c r="G22">
        <v>121</v>
      </c>
      <c r="H22" t="b">
        <v>0</v>
      </c>
      <c r="I22">
        <v>3</v>
      </c>
      <c r="N22">
        <v>34</v>
      </c>
      <c r="P22">
        <v>23</v>
      </c>
      <c r="S22" s="1" t="s">
        <v>137</v>
      </c>
      <c r="AU22" s="2" t="str">
        <f t="shared" si="0"/>
        <v>('0f34b8c9-5293-4c45-b2a4-8e2d7f8dcb36','2025-03-16 03:00:05.236692+00','866dabc4-6501-44d2-a0e5-65da9c45a46e','2025-03-16 03:00:05.236692+00','866dabc4-6501-44d2-a0e5-65da9c45a46e',TRUE,121,FALSE,3,34,23,'4:05:00'),</v>
      </c>
    </row>
    <row r="23" spans="1:47" x14ac:dyDescent="0.25">
      <c r="A23" t="s">
        <v>131</v>
      </c>
      <c r="B23" t="s">
        <v>110</v>
      </c>
      <c r="C23" t="s">
        <v>0</v>
      </c>
      <c r="D23" t="s">
        <v>110</v>
      </c>
      <c r="E23" t="s">
        <v>0</v>
      </c>
      <c r="F23" t="b">
        <v>1</v>
      </c>
      <c r="G23">
        <v>122</v>
      </c>
      <c r="H23" t="b">
        <v>0</v>
      </c>
      <c r="I23">
        <v>3</v>
      </c>
      <c r="N23">
        <v>34</v>
      </c>
      <c r="P23">
        <v>23</v>
      </c>
      <c r="S23" s="1" t="s">
        <v>137</v>
      </c>
      <c r="AU23" s="2" t="str">
        <f t="shared" si="0"/>
        <v>('84b9c3f2-1a05-42e7-911d-4e5c2a7d4b92','2025-03-16 03:00:05.236692+00','866dabc4-6501-44d2-a0e5-65da9c45a46e','2025-03-16 03:00:05.236692+00','866dabc4-6501-44d2-a0e5-65da9c45a46e',TRUE,122,FALSE,3,34,23,'4:05:00'),</v>
      </c>
    </row>
    <row r="24" spans="1:47" x14ac:dyDescent="0.25">
      <c r="A24" t="s">
        <v>132</v>
      </c>
      <c r="B24" t="s">
        <v>110</v>
      </c>
      <c r="C24" t="s">
        <v>0</v>
      </c>
      <c r="D24" t="s">
        <v>110</v>
      </c>
      <c r="E24" t="s">
        <v>0</v>
      </c>
      <c r="F24" t="b">
        <v>1</v>
      </c>
      <c r="G24">
        <v>123</v>
      </c>
      <c r="H24" t="b">
        <v>0</v>
      </c>
      <c r="I24">
        <v>3</v>
      </c>
      <c r="N24">
        <v>34</v>
      </c>
      <c r="P24">
        <v>23</v>
      </c>
      <c r="S24" s="1" t="s">
        <v>137</v>
      </c>
      <c r="AU24" s="2" t="str">
        <f t="shared" si="0"/>
        <v>('7a9d82e3-67f5-41f9-b3c8-2a4f5e0d7b91','2025-03-16 03:00:05.236692+00','866dabc4-6501-44d2-a0e5-65da9c45a46e','2025-03-16 03:00:05.236692+00','866dabc4-6501-44d2-a0e5-65da9c45a46e',TRUE,123,FALSE,3,34,23,'4:05:00'),</v>
      </c>
    </row>
    <row r="25" spans="1:47" x14ac:dyDescent="0.25">
      <c r="A25" t="s">
        <v>133</v>
      </c>
      <c r="B25" t="s">
        <v>110</v>
      </c>
      <c r="C25" t="s">
        <v>0</v>
      </c>
      <c r="D25" t="s">
        <v>110</v>
      </c>
      <c r="E25" t="s">
        <v>0</v>
      </c>
      <c r="F25" t="b">
        <v>1</v>
      </c>
      <c r="G25">
        <v>124</v>
      </c>
      <c r="H25" t="b">
        <v>0</v>
      </c>
      <c r="I25">
        <v>3</v>
      </c>
      <c r="N25">
        <v>34</v>
      </c>
      <c r="P25">
        <v>23</v>
      </c>
      <c r="S25" s="1" t="s">
        <v>137</v>
      </c>
      <c r="AU25" s="2" t="str">
        <f t="shared" si="0"/>
        <v>('461c8f7b-b9e2-4e37-95a8-1d74f93a6c85','2025-03-16 03:00:05.236692+00','866dabc4-6501-44d2-a0e5-65da9c45a46e','2025-03-16 03:00:05.236692+00','866dabc4-6501-44d2-a0e5-65da9c45a46e',TRUE,124,FALSE,3,34,23,'4:05:00'),</v>
      </c>
    </row>
    <row r="26" spans="1:47" x14ac:dyDescent="0.25">
      <c r="A26" t="s">
        <v>134</v>
      </c>
      <c r="B26" t="s">
        <v>110</v>
      </c>
      <c r="C26" t="s">
        <v>0</v>
      </c>
      <c r="D26" t="s">
        <v>110</v>
      </c>
      <c r="E26" t="s">
        <v>0</v>
      </c>
      <c r="F26" t="b">
        <v>1</v>
      </c>
      <c r="G26">
        <v>125</v>
      </c>
      <c r="H26" t="b">
        <v>0</v>
      </c>
      <c r="I26">
        <v>3</v>
      </c>
      <c r="N26">
        <v>34</v>
      </c>
      <c r="P26">
        <v>23</v>
      </c>
      <c r="S26" s="1" t="s">
        <v>137</v>
      </c>
      <c r="AU26" s="2" t="str">
        <f t="shared" si="0"/>
        <v>('d72f48a9-8b63-4f8d-847c-3a5b0c1e9f62','2025-03-16 03:00:05.236692+00','866dabc4-6501-44d2-a0e5-65da9c45a46e','2025-03-16 03:00:05.236692+00','866dabc4-6501-44d2-a0e5-65da9c45a46e',TRUE,125,FALSE,3,34,23,'4:05:00'),</v>
      </c>
    </row>
    <row r="27" spans="1:47" x14ac:dyDescent="0.25">
      <c r="A27" t="s">
        <v>135</v>
      </c>
      <c r="B27" t="s">
        <v>110</v>
      </c>
      <c r="C27" t="s">
        <v>0</v>
      </c>
      <c r="D27" t="s">
        <v>110</v>
      </c>
      <c r="E27" t="s">
        <v>0</v>
      </c>
      <c r="F27" t="b">
        <v>1</v>
      </c>
      <c r="G27">
        <v>126</v>
      </c>
      <c r="H27" t="b">
        <v>0</v>
      </c>
      <c r="I27">
        <v>3</v>
      </c>
      <c r="N27">
        <v>34</v>
      </c>
      <c r="P27">
        <v>23</v>
      </c>
      <c r="S27" s="1" t="s">
        <v>137</v>
      </c>
      <c r="AU27" s="2" t="str">
        <f t="shared" si="0"/>
        <v>('5e8b1a3c-9f47-4d2b-b8e7-a31c5d7f2b64','2025-03-16 03:00:05.236692+00','866dabc4-6501-44d2-a0e5-65da9c45a46e','2025-03-16 03:00:05.236692+00','866dabc4-6501-44d2-a0e5-65da9c45a46e',TRUE,126,FALSE,3,34,23,'4:05:00'),</v>
      </c>
    </row>
    <row r="28" spans="1:47" x14ac:dyDescent="0.25">
      <c r="A28" t="s">
        <v>138</v>
      </c>
      <c r="B28" t="s">
        <v>110</v>
      </c>
      <c r="C28" t="s">
        <v>0</v>
      </c>
      <c r="D28" t="s">
        <v>110</v>
      </c>
      <c r="E28" t="s">
        <v>0</v>
      </c>
      <c r="F28" t="b">
        <v>1</v>
      </c>
      <c r="G28">
        <v>127</v>
      </c>
      <c r="H28" t="b">
        <v>0</v>
      </c>
      <c r="I28">
        <v>3</v>
      </c>
      <c r="N28">
        <v>34</v>
      </c>
      <c r="P28">
        <v>23</v>
      </c>
      <c r="S28" s="1" t="s">
        <v>137</v>
      </c>
      <c r="AU28" s="2" t="str">
        <f t="shared" si="0"/>
        <v>('d2c4a7f9-3b81-401e-92d8-4c75b8e36f12','2025-03-16 03:00:05.236692+00','866dabc4-6501-44d2-a0e5-65da9c45a46e','2025-03-16 03:00:05.236692+00','866dabc4-6501-44d2-a0e5-65da9c45a46e',TRUE,127,FALSE,3,34,23,'4:05:00'),</v>
      </c>
    </row>
    <row r="29" spans="1:47" x14ac:dyDescent="0.25">
      <c r="A29" t="s">
        <v>139</v>
      </c>
      <c r="B29" t="s">
        <v>110</v>
      </c>
      <c r="C29" t="s">
        <v>0</v>
      </c>
      <c r="D29" t="s">
        <v>110</v>
      </c>
      <c r="E29" t="s">
        <v>0</v>
      </c>
      <c r="F29" t="b">
        <v>1</v>
      </c>
      <c r="G29">
        <v>128</v>
      </c>
      <c r="H29" t="b">
        <v>0</v>
      </c>
      <c r="I29">
        <v>3</v>
      </c>
      <c r="N29">
        <v>34</v>
      </c>
      <c r="P29">
        <v>23</v>
      </c>
      <c r="S29" s="1" t="s">
        <v>137</v>
      </c>
      <c r="AU29" s="2" t="str">
        <f t="shared" si="0"/>
        <v>('8f4d23a7-6e91-4c5b-b2c9-71d5f38a0e57','2025-03-16 03:00:05.236692+00','866dabc4-6501-44d2-a0e5-65da9c45a46e','2025-03-16 03:00:05.236692+00','866dabc4-6501-44d2-a0e5-65da9c45a46e',TRUE,128,FALSE,3,34,23,'4:05:00'),</v>
      </c>
    </row>
    <row r="30" spans="1:47" x14ac:dyDescent="0.25">
      <c r="A30" t="s">
        <v>136</v>
      </c>
      <c r="B30" t="s">
        <v>110</v>
      </c>
      <c r="C30" t="s">
        <v>0</v>
      </c>
      <c r="D30" t="s">
        <v>110</v>
      </c>
      <c r="E30" t="s">
        <v>0</v>
      </c>
      <c r="F30" t="b">
        <v>1</v>
      </c>
      <c r="G30">
        <v>129</v>
      </c>
      <c r="H30" t="b">
        <v>0</v>
      </c>
      <c r="I30">
        <v>3</v>
      </c>
      <c r="N30">
        <v>34</v>
      </c>
      <c r="P30">
        <v>23</v>
      </c>
      <c r="S30" s="1" t="s">
        <v>137</v>
      </c>
      <c r="AU30" s="2" t="str">
        <f>_xlfn.CONCAT("('",A30,"','",B30,"','",C30,"','",D30,"','",E30,"',",F30,",",G30,",",H30,",",I30,",",N30,",",P30,",'",S30,"'),")</f>
        <v>('a3b72e91-5d48-4c9f-81f7-2d0c6b4a5e38','2025-03-16 03:00:05.236692+00','866dabc4-6501-44d2-a0e5-65da9c45a46e','2025-03-16 03:00:05.236692+00','866dabc4-6501-44d2-a0e5-65da9c45a46e',TRUE,129,FALSE,3,34,23,'4:05:00'),</v>
      </c>
    </row>
    <row r="31" spans="1:47" x14ac:dyDescent="0.25">
      <c r="A31" t="s">
        <v>142</v>
      </c>
      <c r="B31" t="s">
        <v>110</v>
      </c>
      <c r="C31" t="s">
        <v>0</v>
      </c>
      <c r="D31" t="s">
        <v>110</v>
      </c>
      <c r="E31" t="s">
        <v>0</v>
      </c>
      <c r="F31" t="b">
        <v>1</v>
      </c>
      <c r="G31">
        <v>130</v>
      </c>
      <c r="H31" t="b">
        <v>0</v>
      </c>
      <c r="I31">
        <v>3</v>
      </c>
      <c r="N31">
        <v>34</v>
      </c>
      <c r="P31">
        <v>23</v>
      </c>
      <c r="S31" s="1" t="s">
        <v>137</v>
      </c>
      <c r="AU31" s="2" t="str">
        <f>_xlfn.CONCAT("('",A31,"','",B31,"','",C31,"','",D31,"','",E31,"',",F31,",",G31,",",H31,",",I31,",",N31,",",P31,",'",S31,"'),")</f>
        <v>('5e8b1a3c-9f47-4d2b-b8e7-a31c5d7f2b65','2025-03-16 03:00:05.236692+00','866dabc4-6501-44d2-a0e5-65da9c45a46e','2025-03-16 03:00:05.236692+00','866dabc4-6501-44d2-a0e5-65da9c45a46e',TRUE,130,FALSE,3,34,23,'4:05:00'),</v>
      </c>
    </row>
    <row r="32" spans="1:47" x14ac:dyDescent="0.25">
      <c r="A32" t="s">
        <v>143</v>
      </c>
      <c r="B32" t="s">
        <v>110</v>
      </c>
      <c r="C32" t="s">
        <v>0</v>
      </c>
      <c r="D32" t="s">
        <v>110</v>
      </c>
      <c r="E32" t="s">
        <v>0</v>
      </c>
      <c r="F32" t="b">
        <v>1</v>
      </c>
      <c r="G32">
        <v>131</v>
      </c>
      <c r="H32" t="b">
        <v>0</v>
      </c>
      <c r="I32">
        <v>3</v>
      </c>
      <c r="N32">
        <v>34</v>
      </c>
      <c r="P32">
        <v>23</v>
      </c>
      <c r="S32" s="1" t="s">
        <v>137</v>
      </c>
      <c r="AU32" s="2" t="str">
        <f>_xlfn.CONCAT("('",A32,"','",B32,"','",C32,"','",D32,"','",E32,"',",F32,",",G32,",",H32,",",I32,",",N32,",",P32,",'",S32,"'),")</f>
        <v>('d2c4a7f9-3b81-401e-92d8-4c75b8e36f13','2025-03-16 03:00:05.236692+00','866dabc4-6501-44d2-a0e5-65da9c45a46e','2025-03-16 03:00:05.236692+00','866dabc4-6501-44d2-a0e5-65da9c45a46e',TRUE,131,FALSE,3,34,23,'4:05:00'),</v>
      </c>
    </row>
    <row r="33" spans="1:47" x14ac:dyDescent="0.25">
      <c r="A33" t="s">
        <v>144</v>
      </c>
      <c r="B33" t="s">
        <v>110</v>
      </c>
      <c r="C33" t="s">
        <v>0</v>
      </c>
      <c r="D33" t="s">
        <v>110</v>
      </c>
      <c r="E33" t="s">
        <v>0</v>
      </c>
      <c r="F33" t="b">
        <v>1</v>
      </c>
      <c r="G33">
        <v>132</v>
      </c>
      <c r="H33" t="b">
        <v>0</v>
      </c>
      <c r="I33">
        <v>3</v>
      </c>
      <c r="N33">
        <v>34</v>
      </c>
      <c r="P33">
        <v>23</v>
      </c>
      <c r="S33" s="1" t="s">
        <v>137</v>
      </c>
      <c r="AU33" s="2" t="str">
        <f>_xlfn.CONCAT("('",A33,"','",B33,"','",C33,"','",D33,"','",E33,"',",F33,",",G33,",",H33,",",I33,",",N33,",",P33,",'",S33,"'),")</f>
        <v>('8f4d23a7-6e91-4c5b-b2c9-71d5f38a0e58','2025-03-16 03:00:05.236692+00','866dabc4-6501-44d2-a0e5-65da9c45a46e','2025-03-16 03:00:05.236692+00','866dabc4-6501-44d2-a0e5-65da9c45a46e',TRUE,132,FALSE,3,34,23,'4:05:00'),</v>
      </c>
    </row>
    <row r="34" spans="1:47" x14ac:dyDescent="0.25">
      <c r="A34" t="s">
        <v>145</v>
      </c>
      <c r="B34" t="s">
        <v>110</v>
      </c>
      <c r="C34" t="s">
        <v>0</v>
      </c>
      <c r="D34" t="s">
        <v>110</v>
      </c>
      <c r="E34" t="s">
        <v>0</v>
      </c>
      <c r="F34" t="b">
        <v>1</v>
      </c>
      <c r="G34">
        <v>133</v>
      </c>
      <c r="H34" t="b">
        <v>0</v>
      </c>
      <c r="I34">
        <v>3</v>
      </c>
      <c r="N34">
        <v>34</v>
      </c>
      <c r="P34">
        <v>23</v>
      </c>
      <c r="S34" s="1" t="s">
        <v>137</v>
      </c>
      <c r="AU34" s="2" t="str">
        <f t="shared" ref="AU34" si="1">_xlfn.CONCAT("('",A34,"','",B34,"','",C34,"','",D34,"','",E34,"',",F34,",",G34,",",H34,",",I34,",",N34,",",P34,",'",S34,"');")</f>
        <v>('a3b72e91-5d48-4c9f-81f7-2d0c6b4a5e39','2025-03-16 03:00:05.236692+00','866dabc4-6501-44d2-a0e5-65da9c45a46e','2025-03-16 03:00:05.236692+00','866dabc4-6501-44d2-a0e5-65da9c45a46e',TRUE,133,FALSE,3,34,23,'4:05:00');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5996-6C33-40E3-978E-979F3BEE71EF}">
  <dimension ref="A1:Q14"/>
  <sheetViews>
    <sheetView workbookViewId="0">
      <selection activeCell="F18" sqref="F18"/>
    </sheetView>
  </sheetViews>
  <sheetFormatPr defaultRowHeight="15" x14ac:dyDescent="0.25"/>
  <cols>
    <col min="1" max="1" width="2.7109375" bestFit="1" customWidth="1"/>
    <col min="2" max="2" width="8" bestFit="1" customWidth="1"/>
    <col min="3" max="3" width="36.7109375" bestFit="1" customWidth="1"/>
    <col min="4" max="4" width="8.5703125" bestFit="1" customWidth="1"/>
    <col min="5" max="5" width="10.7109375" bestFit="1" customWidth="1"/>
    <col min="6" max="6" width="8" bestFit="1" customWidth="1"/>
    <col min="7" max="7" width="10.5703125" bestFit="1" customWidth="1"/>
    <col min="8" max="8" width="11" bestFit="1" customWidth="1"/>
    <col min="9" max="9" width="12.5703125" bestFit="1" customWidth="1"/>
    <col min="10" max="10" width="9.28515625" bestFit="1" customWidth="1"/>
    <col min="11" max="11" width="17.7109375" bestFit="1" customWidth="1"/>
    <col min="12" max="12" width="5.5703125" bestFit="1" customWidth="1"/>
    <col min="13" max="13" width="9.5703125" bestFit="1" customWidth="1"/>
    <col min="14" max="14" width="8.140625" bestFit="1" customWidth="1"/>
    <col min="15" max="15" width="5.42578125" bestFit="1" customWidth="1"/>
    <col min="16" max="16" width="6.42578125" bestFit="1" customWidth="1"/>
    <col min="17" max="17" width="70.140625" customWidth="1"/>
  </cols>
  <sheetData>
    <row r="1" spans="1:17" x14ac:dyDescent="0.25">
      <c r="A1" t="s">
        <v>16</v>
      </c>
      <c r="B1" s="2" t="s">
        <v>65</v>
      </c>
      <c r="C1" t="s">
        <v>66</v>
      </c>
      <c r="D1" s="2" t="s">
        <v>67</v>
      </c>
      <c r="E1" s="2" t="s">
        <v>68</v>
      </c>
      <c r="F1" t="s">
        <v>69</v>
      </c>
      <c r="G1" s="2" t="s">
        <v>798</v>
      </c>
      <c r="H1" t="s">
        <v>799</v>
      </c>
      <c r="I1" s="2" t="s">
        <v>800</v>
      </c>
      <c r="J1" t="s">
        <v>801</v>
      </c>
      <c r="K1" t="s">
        <v>802</v>
      </c>
      <c r="L1" s="2" t="s">
        <v>803</v>
      </c>
      <c r="M1" s="2" t="s">
        <v>804</v>
      </c>
      <c r="N1" s="2" t="s">
        <v>805</v>
      </c>
      <c r="O1" s="2" t="s">
        <v>107</v>
      </c>
      <c r="P1" s="2" t="s">
        <v>806</v>
      </c>
    </row>
    <row r="2" spans="1:17" x14ac:dyDescent="0.25">
      <c r="A2">
        <v>1</v>
      </c>
      <c r="C2" t="s">
        <v>0</v>
      </c>
      <c r="F2" t="b">
        <v>1</v>
      </c>
      <c r="H2">
        <v>0</v>
      </c>
      <c r="J2">
        <v>0</v>
      </c>
      <c r="K2" t="s">
        <v>807</v>
      </c>
      <c r="Q2" t="str">
        <f>_xlfn.CONCAT("(",A2,",'",C2,"',",F2,",",H2,",",J2,",'",K2,"'),")</f>
        <v>(1,'866dabc4-6501-44d2-a0e5-65da9c45a46e',TRUE,0,0,'BINOCRIT'),</v>
      </c>
    </row>
    <row r="3" spans="1:17" x14ac:dyDescent="0.25">
      <c r="A3">
        <v>2</v>
      </c>
      <c r="C3" t="s">
        <v>0</v>
      </c>
      <c r="F3" t="b">
        <v>1</v>
      </c>
      <c r="H3">
        <v>0</v>
      </c>
      <c r="J3">
        <v>0</v>
      </c>
      <c r="K3" t="s">
        <v>808</v>
      </c>
      <c r="Q3" t="str">
        <f t="shared" ref="Q3:Q6" si="0">_xlfn.CONCAT("(",A3,",'",C3,"',",F3,",",H3,",",J3,",'",K3,"'),")</f>
        <v>(2,'866dabc4-6501-44d2-a0e5-65da9c45a46e',TRUE,0,0,'EPOTIV'),</v>
      </c>
    </row>
    <row r="4" spans="1:17" x14ac:dyDescent="0.25">
      <c r="A4">
        <v>3</v>
      </c>
      <c r="C4" t="s">
        <v>0</v>
      </c>
      <c r="F4" t="b">
        <v>1</v>
      </c>
      <c r="H4">
        <v>0</v>
      </c>
      <c r="J4">
        <v>0</v>
      </c>
      <c r="K4" t="s">
        <v>809</v>
      </c>
      <c r="Q4" t="str">
        <f t="shared" si="0"/>
        <v>(3,'866dabc4-6501-44d2-a0e5-65da9c45a46e',TRUE,0,0,'EPREX'),</v>
      </c>
    </row>
    <row r="5" spans="1:17" x14ac:dyDescent="0.25">
      <c r="A5">
        <v>4</v>
      </c>
      <c r="C5" t="s">
        <v>0</v>
      </c>
      <c r="F5" t="b">
        <v>1</v>
      </c>
      <c r="H5">
        <v>0</v>
      </c>
      <c r="J5">
        <v>0</v>
      </c>
      <c r="K5" t="s">
        <v>810</v>
      </c>
      <c r="Q5" t="str">
        <f t="shared" si="0"/>
        <v>(4,'866dabc4-6501-44d2-a0e5-65da9c45a46e',TRUE,0,0,'ESPOGEN (LIFE Sci)'),</v>
      </c>
    </row>
    <row r="6" spans="1:17" x14ac:dyDescent="0.25">
      <c r="A6">
        <v>5</v>
      </c>
      <c r="C6" t="s">
        <v>0</v>
      </c>
      <c r="F6" t="b">
        <v>1</v>
      </c>
      <c r="H6">
        <v>0</v>
      </c>
      <c r="J6">
        <v>0</v>
      </c>
      <c r="K6" t="s">
        <v>811</v>
      </c>
      <c r="Q6" t="str">
        <f t="shared" si="0"/>
        <v>(5,'866dabc4-6501-44d2-a0e5-65da9c45a46e',TRUE,0,0,'HEMAX'),</v>
      </c>
    </row>
    <row r="7" spans="1:17" x14ac:dyDescent="0.25">
      <c r="A7">
        <v>6</v>
      </c>
      <c r="C7" t="s">
        <v>0</v>
      </c>
      <c r="F7" t="b">
        <v>1</v>
      </c>
      <c r="H7">
        <v>0</v>
      </c>
      <c r="J7">
        <v>0</v>
      </c>
      <c r="K7" t="s">
        <v>812</v>
      </c>
      <c r="Q7" t="str">
        <f>_xlfn.CONCAT("(",A7,",'",C7,"',",F7,",",H7,",",J7,",'",K7,"');")</f>
        <v>(6,'866dabc4-6501-44d2-a0e5-65da9c45a46e',TRUE,0,0,'RECORMON');</v>
      </c>
    </row>
    <row r="9" spans="1:17" x14ac:dyDescent="0.25">
      <c r="Q9" t="s">
        <v>813</v>
      </c>
    </row>
    <row r="10" spans="1:17" x14ac:dyDescent="0.25">
      <c r="Q10" t="s">
        <v>814</v>
      </c>
    </row>
    <row r="11" spans="1:17" x14ac:dyDescent="0.25">
      <c r="Q11" t="s">
        <v>815</v>
      </c>
    </row>
    <row r="12" spans="1:17" x14ac:dyDescent="0.25">
      <c r="Q12" t="s">
        <v>816</v>
      </c>
    </row>
    <row r="13" spans="1:17" x14ac:dyDescent="0.25">
      <c r="Q13" t="s">
        <v>817</v>
      </c>
    </row>
    <row r="14" spans="1:17" x14ac:dyDescent="0.25">
      <c r="Q14" t="s">
        <v>818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3D83-1FB1-4621-A3D7-B91360BF6F66}">
  <sheetPr>
    <tabColor theme="5" tint="-0.249977111117893"/>
  </sheetPr>
  <dimension ref="A1:AU62"/>
  <sheetViews>
    <sheetView workbookViewId="0">
      <selection activeCell="AU33" sqref="AU33:AU62"/>
    </sheetView>
  </sheetViews>
  <sheetFormatPr defaultRowHeight="15" x14ac:dyDescent="0.25"/>
  <cols>
    <col min="1" max="1" width="37" bestFit="1" customWidth="1"/>
    <col min="2" max="2" width="28.140625" bestFit="1" customWidth="1"/>
    <col min="3" max="3" width="37.28515625" bestFit="1" customWidth="1"/>
    <col min="4" max="4" width="28.140625" bestFit="1" customWidth="1"/>
    <col min="5" max="5" width="37.28515625" bestFit="1" customWidth="1"/>
    <col min="6" max="6" width="8" bestFit="1" customWidth="1"/>
    <col min="8" max="8" width="10.5703125" bestFit="1" customWidth="1"/>
    <col min="9" max="9" width="6.140625" bestFit="1" customWidth="1"/>
    <col min="10" max="10" width="8.42578125" style="7" bestFit="1" customWidth="1"/>
    <col min="11" max="11" width="2.7109375" style="7" customWidth="1"/>
    <col min="12" max="12" width="3.28515625" style="7" customWidth="1"/>
    <col min="13" max="13" width="3.42578125" style="7" customWidth="1"/>
    <col min="14" max="14" width="10.42578125" bestFit="1" customWidth="1"/>
    <col min="15" max="15" width="5.7109375" style="7" customWidth="1"/>
    <col min="16" max="16" width="10.42578125" bestFit="1" customWidth="1"/>
    <col min="17" max="18" width="2" style="7" customWidth="1"/>
    <col min="19" max="19" width="10.5703125" style="1" bestFit="1" customWidth="1"/>
    <col min="20" max="39" width="1.42578125" style="7" customWidth="1"/>
    <col min="40" max="45" width="1.140625" style="7" customWidth="1"/>
    <col min="47" max="47" width="212.85546875" style="2" bestFit="1" customWidth="1"/>
  </cols>
  <sheetData>
    <row r="1" spans="1:47" s="8" customFormat="1" x14ac:dyDescent="0.25">
      <c r="A1" s="8" t="s">
        <v>16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8" t="s">
        <v>75</v>
      </c>
      <c r="M1" s="8" t="s">
        <v>76</v>
      </c>
      <c r="N1" s="8" t="s">
        <v>77</v>
      </c>
      <c r="O1" s="8" t="s">
        <v>78</v>
      </c>
      <c r="P1" s="8" t="s">
        <v>79</v>
      </c>
      <c r="Q1" s="8" t="s">
        <v>80</v>
      </c>
      <c r="R1" s="8" t="s">
        <v>81</v>
      </c>
      <c r="S1" s="10" t="s">
        <v>82</v>
      </c>
      <c r="T1" s="8" t="s">
        <v>83</v>
      </c>
      <c r="U1" s="8" t="s">
        <v>84</v>
      </c>
      <c r="V1" s="8" t="s">
        <v>85</v>
      </c>
      <c r="W1" s="8" t="s">
        <v>86</v>
      </c>
      <c r="X1" s="8" t="s">
        <v>87</v>
      </c>
      <c r="Y1" s="8" t="s">
        <v>88</v>
      </c>
      <c r="Z1" s="8" t="s">
        <v>89</v>
      </c>
      <c r="AA1" s="8" t="s">
        <v>90</v>
      </c>
      <c r="AB1" s="8" t="s">
        <v>91</v>
      </c>
      <c r="AC1" s="8" t="s">
        <v>92</v>
      </c>
      <c r="AD1" s="8" t="s">
        <v>93</v>
      </c>
      <c r="AE1" s="8" t="s">
        <v>94</v>
      </c>
      <c r="AF1" s="8" t="s">
        <v>95</v>
      </c>
      <c r="AG1" s="8" t="s">
        <v>96</v>
      </c>
      <c r="AH1" s="8" t="s">
        <v>97</v>
      </c>
      <c r="AI1" s="8" t="s">
        <v>98</v>
      </c>
      <c r="AJ1" s="8" t="s">
        <v>99</v>
      </c>
      <c r="AK1" s="8" t="s">
        <v>100</v>
      </c>
      <c r="AL1" s="8" t="s">
        <v>101</v>
      </c>
      <c r="AM1" s="8" t="s">
        <v>102</v>
      </c>
      <c r="AN1" s="8" t="s">
        <v>103</v>
      </c>
      <c r="AO1" s="8" t="s">
        <v>104</v>
      </c>
      <c r="AP1" s="8" t="s">
        <v>105</v>
      </c>
      <c r="AQ1" s="8" t="s">
        <v>106</v>
      </c>
      <c r="AR1" s="8" t="s">
        <v>107</v>
      </c>
      <c r="AS1" s="8" t="s">
        <v>108</v>
      </c>
      <c r="AU1" s="9"/>
    </row>
    <row r="2" spans="1:47" x14ac:dyDescent="0.25">
      <c r="A2" t="s">
        <v>109</v>
      </c>
      <c r="B2" t="s">
        <v>767</v>
      </c>
      <c r="C2" t="s">
        <v>0</v>
      </c>
      <c r="D2" t="s">
        <v>767</v>
      </c>
      <c r="E2" t="s">
        <v>0</v>
      </c>
      <c r="F2" t="b">
        <v>1</v>
      </c>
      <c r="G2">
        <v>6505315</v>
      </c>
      <c r="H2" t="b">
        <v>0</v>
      </c>
      <c r="I2">
        <v>3</v>
      </c>
      <c r="N2">
        <v>34</v>
      </c>
      <c r="P2">
        <v>23</v>
      </c>
      <c r="S2" s="1" t="s">
        <v>137</v>
      </c>
      <c r="AU2" s="2" t="str">
        <f>_xlfn.CONCAT("('",A2,"','",B2,"','",C2,"','",D2,"','",E2,"',",F2,",",G2,",",H2,",",I2,",",N2,",",P2,",'",S2,"'),")</f>
        <v>('b25379c3-dc0d-4791-b222-a6354fa53b5d','2025-06-17 03:00:05.236692+00','866dabc4-6501-44d2-a0e5-65da9c45a46e','2025-06-17 03:00:05.236692+00','866dabc4-6501-44d2-a0e5-65da9c45a46e',TRUE,6505315,FALSE,3,34,23,'4:05:00'),</v>
      </c>
    </row>
    <row r="3" spans="1:47" x14ac:dyDescent="0.25">
      <c r="A3" t="s">
        <v>111</v>
      </c>
      <c r="B3" t="s">
        <v>767</v>
      </c>
      <c r="C3" t="s">
        <v>0</v>
      </c>
      <c r="D3" t="s">
        <v>767</v>
      </c>
      <c r="E3" t="s">
        <v>0</v>
      </c>
      <c r="F3" t="b">
        <v>1</v>
      </c>
      <c r="G3">
        <v>6455308</v>
      </c>
      <c r="H3" t="b">
        <v>0</v>
      </c>
      <c r="I3">
        <v>3</v>
      </c>
      <c r="N3">
        <v>34</v>
      </c>
      <c r="P3">
        <v>23</v>
      </c>
      <c r="S3" s="1" t="s">
        <v>137</v>
      </c>
      <c r="AU3" s="2" t="str">
        <f t="shared" ref="AU3:AU29" si="0">_xlfn.CONCAT("('",A3,"','",B3,"','",C3,"','",D3,"','",E3,"',",F3,",",G3,",",H3,",",I3,",",N3,",",P3,",'",S3,"'),")</f>
        <v>('3e8b2a4d-f06c-4b74-873a-6a1f56e9b5df','2025-06-17 03:00:05.236692+00','866dabc4-6501-44d2-a0e5-65da9c45a46e','2025-06-17 03:00:05.236692+00','866dabc4-6501-44d2-a0e5-65da9c45a46e',TRUE,6455308,FALSE,3,34,23,'4:05:00'),</v>
      </c>
    </row>
    <row r="4" spans="1:47" x14ac:dyDescent="0.25">
      <c r="A4" t="s">
        <v>112</v>
      </c>
      <c r="B4" t="s">
        <v>767</v>
      </c>
      <c r="C4" t="s">
        <v>0</v>
      </c>
      <c r="D4" t="s">
        <v>767</v>
      </c>
      <c r="E4" t="s">
        <v>0</v>
      </c>
      <c r="F4" t="b">
        <v>1</v>
      </c>
      <c r="G4">
        <v>6508733</v>
      </c>
      <c r="H4" t="b">
        <v>0</v>
      </c>
      <c r="I4">
        <v>3</v>
      </c>
      <c r="N4">
        <v>34</v>
      </c>
      <c r="P4">
        <v>23</v>
      </c>
      <c r="S4" s="1" t="s">
        <v>137</v>
      </c>
      <c r="AU4" s="2" t="str">
        <f t="shared" si="0"/>
        <v>('f9b4d3c2-7a59-4b1a-89b0-14a3c04bfae2','2025-06-17 03:00:05.236692+00','866dabc4-6501-44d2-a0e5-65da9c45a46e','2025-06-17 03:00:05.236692+00','866dabc4-6501-44d2-a0e5-65da9c45a46e',TRUE,6508733,FALSE,3,34,23,'4:05:00'),</v>
      </c>
    </row>
    <row r="5" spans="1:47" x14ac:dyDescent="0.25">
      <c r="A5" t="s">
        <v>113</v>
      </c>
      <c r="B5" t="s">
        <v>767</v>
      </c>
      <c r="C5" t="s">
        <v>0</v>
      </c>
      <c r="D5" t="s">
        <v>767</v>
      </c>
      <c r="E5" t="s">
        <v>0</v>
      </c>
      <c r="F5" t="b">
        <v>1</v>
      </c>
      <c r="G5">
        <v>6512620</v>
      </c>
      <c r="H5" t="b">
        <v>0</v>
      </c>
      <c r="I5">
        <v>3</v>
      </c>
      <c r="N5">
        <v>34</v>
      </c>
      <c r="P5">
        <v>23</v>
      </c>
      <c r="S5" s="1" t="s">
        <v>137</v>
      </c>
      <c r="AU5" s="2" t="str">
        <f t="shared" si="0"/>
        <v>('2c4a8f97-3d71-40e7-a8c4-28bcbfc23b35','2025-06-17 03:00:05.236692+00','866dabc4-6501-44d2-a0e5-65da9c45a46e','2025-06-17 03:00:05.236692+00','866dabc4-6501-44d2-a0e5-65da9c45a46e',TRUE,6512620,FALSE,3,34,23,'4:05:00'),</v>
      </c>
    </row>
    <row r="6" spans="1:47" x14ac:dyDescent="0.25">
      <c r="A6" t="s">
        <v>114</v>
      </c>
      <c r="B6" t="s">
        <v>767</v>
      </c>
      <c r="C6" t="s">
        <v>0</v>
      </c>
      <c r="D6" t="s">
        <v>767</v>
      </c>
      <c r="E6" t="s">
        <v>0</v>
      </c>
      <c r="F6" t="b">
        <v>1</v>
      </c>
      <c r="G6">
        <v>6300865</v>
      </c>
      <c r="H6" t="b">
        <v>0</v>
      </c>
      <c r="I6">
        <v>3</v>
      </c>
      <c r="N6">
        <v>34</v>
      </c>
      <c r="P6">
        <v>23</v>
      </c>
      <c r="S6" s="1" t="s">
        <v>137</v>
      </c>
      <c r="AU6" s="2" t="str">
        <f t="shared" si="0"/>
        <v>('7b152e30-0c4f-41d1-a637-84ebad5a8579','2025-06-17 03:00:05.236692+00','866dabc4-6501-44d2-a0e5-65da9c45a46e','2025-06-17 03:00:05.236692+00','866dabc4-6501-44d2-a0e5-65da9c45a46e',TRUE,6300865,FALSE,3,34,23,'4:05:00'),</v>
      </c>
    </row>
    <row r="7" spans="1:47" x14ac:dyDescent="0.25">
      <c r="A7" t="s">
        <v>115</v>
      </c>
      <c r="B7" t="s">
        <v>767</v>
      </c>
      <c r="C7" t="s">
        <v>0</v>
      </c>
      <c r="D7" t="s">
        <v>767</v>
      </c>
      <c r="E7" t="s">
        <v>0</v>
      </c>
      <c r="F7" t="b">
        <v>1</v>
      </c>
      <c r="G7">
        <v>6519635</v>
      </c>
      <c r="H7" t="b">
        <v>0</v>
      </c>
      <c r="I7">
        <v>3</v>
      </c>
      <c r="N7">
        <v>34</v>
      </c>
      <c r="P7">
        <v>23</v>
      </c>
      <c r="S7" s="1" t="s">
        <v>137</v>
      </c>
      <c r="AU7" s="2" t="str">
        <f t="shared" si="0"/>
        <v>('94d93217-19d0-43c5-b0da-8c4a3741c771','2025-06-17 03:00:05.236692+00','866dabc4-6501-44d2-a0e5-65da9c45a46e','2025-06-17 03:00:05.236692+00','866dabc4-6501-44d2-a0e5-65da9c45a46e',TRUE,6519635,FALSE,3,34,23,'4:05:00'),</v>
      </c>
    </row>
    <row r="8" spans="1:47" x14ac:dyDescent="0.25">
      <c r="A8" t="s">
        <v>116</v>
      </c>
      <c r="B8" t="s">
        <v>767</v>
      </c>
      <c r="C8" t="s">
        <v>0</v>
      </c>
      <c r="D8" t="s">
        <v>767</v>
      </c>
      <c r="E8" t="s">
        <v>0</v>
      </c>
      <c r="F8" t="b">
        <v>1</v>
      </c>
      <c r="G8">
        <v>6521515</v>
      </c>
      <c r="H8" t="b">
        <v>0</v>
      </c>
      <c r="I8">
        <v>3</v>
      </c>
      <c r="N8">
        <v>34</v>
      </c>
      <c r="P8">
        <v>23</v>
      </c>
      <c r="S8" s="1" t="s">
        <v>137</v>
      </c>
      <c r="AU8" s="2" t="str">
        <f t="shared" si="0"/>
        <v>('c3e452d6-6f1e-4b9d-8c68-5f24d0e73945','2025-06-17 03:00:05.236692+00','866dabc4-6501-44d2-a0e5-65da9c45a46e','2025-06-17 03:00:05.236692+00','866dabc4-6501-44d2-a0e5-65da9c45a46e',TRUE,6521515,FALSE,3,34,23,'4:05:00'),</v>
      </c>
    </row>
    <row r="9" spans="1:47" x14ac:dyDescent="0.25">
      <c r="A9" t="s">
        <v>117</v>
      </c>
      <c r="B9" t="s">
        <v>767</v>
      </c>
      <c r="C9" t="s">
        <v>0</v>
      </c>
      <c r="D9" t="s">
        <v>767</v>
      </c>
      <c r="E9" t="s">
        <v>0</v>
      </c>
      <c r="F9" t="b">
        <v>1</v>
      </c>
      <c r="G9">
        <v>6521637</v>
      </c>
      <c r="H9" t="b">
        <v>0</v>
      </c>
      <c r="I9">
        <v>3</v>
      </c>
      <c r="N9">
        <v>34</v>
      </c>
      <c r="P9">
        <v>23</v>
      </c>
      <c r="S9" s="1" t="s">
        <v>137</v>
      </c>
      <c r="AU9" s="2" t="str">
        <f t="shared" si="0"/>
        <v>('67f8239d-a7ea-4efb-b14c-6b8c8e64bcd4','2025-06-17 03:00:05.236692+00','866dabc4-6501-44d2-a0e5-65da9c45a46e','2025-06-17 03:00:05.236692+00','866dabc4-6501-44d2-a0e5-65da9c45a46e',TRUE,6521637,FALSE,3,34,23,'4:05:00'),</v>
      </c>
    </row>
    <row r="10" spans="1:47" x14ac:dyDescent="0.25">
      <c r="A10" t="s">
        <v>118</v>
      </c>
      <c r="B10" t="s">
        <v>767</v>
      </c>
      <c r="C10" t="s">
        <v>0</v>
      </c>
      <c r="D10" t="s">
        <v>767</v>
      </c>
      <c r="E10" t="s">
        <v>0</v>
      </c>
      <c r="F10" t="b">
        <v>1</v>
      </c>
      <c r="G10" t="s">
        <v>736</v>
      </c>
      <c r="H10" t="b">
        <v>0</v>
      </c>
      <c r="I10">
        <v>3</v>
      </c>
      <c r="N10">
        <v>34</v>
      </c>
      <c r="P10">
        <v>23</v>
      </c>
      <c r="S10" s="1" t="s">
        <v>137</v>
      </c>
      <c r="AU10" s="2" t="str">
        <f t="shared" si="0"/>
        <v>('d5294cb9-3161-4149-8f02-89f3f9f7d6b4','2025-06-17 03:00:05.236692+00','866dabc4-6501-44d2-a0e5-65da9c45a46e','2025-06-17 03:00:05.236692+00','866dabc4-6501-44d2-a0e5-65da9c45a46e',TRUE,49082/54,FALSE,3,34,23,'4:05:00'),</v>
      </c>
    </row>
    <row r="11" spans="1:47" x14ac:dyDescent="0.25">
      <c r="A11" t="s">
        <v>119</v>
      </c>
      <c r="B11" t="s">
        <v>767</v>
      </c>
      <c r="C11" t="s">
        <v>0</v>
      </c>
      <c r="D11" t="s">
        <v>767</v>
      </c>
      <c r="E11" t="s">
        <v>0</v>
      </c>
      <c r="F11" t="b">
        <v>1</v>
      </c>
      <c r="G11">
        <v>6602502</v>
      </c>
      <c r="H11" t="b">
        <v>0</v>
      </c>
      <c r="I11">
        <v>3</v>
      </c>
      <c r="N11">
        <v>34</v>
      </c>
      <c r="P11">
        <v>23</v>
      </c>
      <c r="S11" s="1" t="s">
        <v>137</v>
      </c>
      <c r="AU11" s="2" t="str">
        <f t="shared" si="0"/>
        <v>('b5c2a478-fb4e-43d5-b601-c426fb8a906c','2025-06-17 03:00:05.236692+00','866dabc4-6501-44d2-a0e5-65da9c45a46e','2025-06-17 03:00:05.236692+00','866dabc4-6501-44d2-a0e5-65da9c45a46e',TRUE,6602502,FALSE,3,34,23,'4:05:00'),</v>
      </c>
    </row>
    <row r="12" spans="1:47" x14ac:dyDescent="0.25">
      <c r="A12" t="s">
        <v>120</v>
      </c>
      <c r="B12" t="s">
        <v>767</v>
      </c>
      <c r="C12" t="s">
        <v>0</v>
      </c>
      <c r="D12" t="s">
        <v>767</v>
      </c>
      <c r="E12" t="s">
        <v>0</v>
      </c>
      <c r="F12" t="b">
        <v>1</v>
      </c>
      <c r="G12">
        <v>6603132</v>
      </c>
      <c r="H12" t="b">
        <v>0</v>
      </c>
      <c r="I12">
        <v>3</v>
      </c>
      <c r="N12">
        <v>34</v>
      </c>
      <c r="P12">
        <v>23</v>
      </c>
      <c r="S12" s="1" t="s">
        <v>137</v>
      </c>
      <c r="AU12" s="2" t="str">
        <f t="shared" si="0"/>
        <v>('1d5e0a8b-76f7-46cd-9e47-2eb7f98f47e2','2025-06-17 03:00:05.236692+00','866dabc4-6501-44d2-a0e5-65da9c45a46e','2025-06-17 03:00:05.236692+00','866dabc4-6501-44d2-a0e5-65da9c45a46e',TRUE,6603132,FALSE,3,34,23,'4:05:00'),</v>
      </c>
    </row>
    <row r="13" spans="1:47" x14ac:dyDescent="0.25">
      <c r="A13" t="s">
        <v>121</v>
      </c>
      <c r="B13" t="s">
        <v>767</v>
      </c>
      <c r="C13" t="s">
        <v>0</v>
      </c>
      <c r="D13" t="s">
        <v>767</v>
      </c>
      <c r="E13" t="s">
        <v>0</v>
      </c>
      <c r="F13" t="b">
        <v>1</v>
      </c>
      <c r="G13">
        <v>5333974</v>
      </c>
      <c r="H13" t="b">
        <v>0</v>
      </c>
      <c r="I13">
        <v>3</v>
      </c>
      <c r="N13">
        <v>34</v>
      </c>
      <c r="P13">
        <v>23</v>
      </c>
      <c r="S13" s="1" t="s">
        <v>137</v>
      </c>
      <c r="AU13" s="2" t="str">
        <f t="shared" si="0"/>
        <v>('a09c56df-c477-4a3f-a905-7392d3f6cb4f','2025-06-17 03:00:05.236692+00','866dabc4-6501-44d2-a0e5-65da9c45a46e','2025-06-17 03:00:05.236692+00','866dabc4-6501-44d2-a0e5-65da9c45a46e',TRUE,5333974,FALSE,3,34,23,'4:05:00'),</v>
      </c>
    </row>
    <row r="14" spans="1:47" x14ac:dyDescent="0.25">
      <c r="A14" t="s">
        <v>122</v>
      </c>
      <c r="B14" t="s">
        <v>767</v>
      </c>
      <c r="C14" t="s">
        <v>0</v>
      </c>
      <c r="D14" t="s">
        <v>767</v>
      </c>
      <c r="E14" t="s">
        <v>0</v>
      </c>
      <c r="F14" t="b">
        <v>1</v>
      </c>
      <c r="G14">
        <v>213860</v>
      </c>
      <c r="H14" t="b">
        <v>0</v>
      </c>
      <c r="I14">
        <v>3</v>
      </c>
      <c r="N14">
        <v>34</v>
      </c>
      <c r="P14">
        <v>23</v>
      </c>
      <c r="S14" s="1" t="s">
        <v>137</v>
      </c>
      <c r="AU14" s="2" t="str">
        <f t="shared" si="0"/>
        <v>('5c1f407e-46b8-4092-8be1-22708b3e3d3b','2025-06-17 03:00:05.236692+00','866dabc4-6501-44d2-a0e5-65da9c45a46e','2025-06-17 03:00:05.236692+00','866dabc4-6501-44d2-a0e5-65da9c45a46e',TRUE,213860,FALSE,3,34,23,'4:05:00'),</v>
      </c>
    </row>
    <row r="15" spans="1:47" x14ac:dyDescent="0.25">
      <c r="A15" t="s">
        <v>123</v>
      </c>
      <c r="B15" t="s">
        <v>767</v>
      </c>
      <c r="C15" t="s">
        <v>0</v>
      </c>
      <c r="D15" t="s">
        <v>767</v>
      </c>
      <c r="E15" t="s">
        <v>0</v>
      </c>
      <c r="F15" t="b">
        <v>1</v>
      </c>
      <c r="G15">
        <v>48324</v>
      </c>
      <c r="H15" t="b">
        <v>0</v>
      </c>
      <c r="I15">
        <v>3</v>
      </c>
      <c r="N15">
        <v>34</v>
      </c>
      <c r="P15">
        <v>23</v>
      </c>
      <c r="S15" s="1" t="s">
        <v>137</v>
      </c>
      <c r="AU15" s="2" t="str">
        <f t="shared" si="0"/>
        <v>('e3b9f574-66f6-4021-a26d-7cb5b9f77d3b','2025-06-17 03:00:05.236692+00','866dabc4-6501-44d2-a0e5-65da9c45a46e','2025-06-17 03:00:05.236692+00','866dabc4-6501-44d2-a0e5-65da9c45a46e',TRUE,48324,FALSE,3,34,23,'4:05:00'),</v>
      </c>
    </row>
    <row r="16" spans="1:47" x14ac:dyDescent="0.25">
      <c r="A16" t="s">
        <v>124</v>
      </c>
      <c r="B16" t="s">
        <v>767</v>
      </c>
      <c r="C16" t="s">
        <v>0</v>
      </c>
      <c r="D16" t="s">
        <v>767</v>
      </c>
      <c r="E16" t="s">
        <v>0</v>
      </c>
      <c r="F16" t="b">
        <v>1</v>
      </c>
      <c r="G16">
        <v>670001117</v>
      </c>
      <c r="H16" t="b">
        <v>0</v>
      </c>
      <c r="I16">
        <v>3</v>
      </c>
      <c r="N16">
        <v>34</v>
      </c>
      <c r="P16">
        <v>23</v>
      </c>
      <c r="S16" s="1" t="s">
        <v>137</v>
      </c>
      <c r="AU16" s="2" t="str">
        <f t="shared" si="0"/>
        <v>('33a8c5f4-d2fc-4f67-8a43-2fb2c9d826d4','2025-06-17 03:00:05.236692+00','866dabc4-6501-44d2-a0e5-65da9c45a46e','2025-06-17 03:00:05.236692+00','866dabc4-6501-44d2-a0e5-65da9c45a46e',TRUE,670001117,FALSE,3,34,23,'4:05:00'),</v>
      </c>
    </row>
    <row r="17" spans="1:47" x14ac:dyDescent="0.25">
      <c r="A17" t="s">
        <v>125</v>
      </c>
      <c r="B17" t="s">
        <v>767</v>
      </c>
      <c r="C17" t="s">
        <v>0</v>
      </c>
      <c r="D17" t="s">
        <v>767</v>
      </c>
      <c r="E17" t="s">
        <v>0</v>
      </c>
      <c r="F17" t="b">
        <v>1</v>
      </c>
      <c r="G17">
        <v>6701952</v>
      </c>
      <c r="H17" t="b">
        <v>0</v>
      </c>
      <c r="I17">
        <v>3</v>
      </c>
      <c r="N17">
        <v>34</v>
      </c>
      <c r="P17">
        <v>23</v>
      </c>
      <c r="S17" s="1" t="s">
        <v>137</v>
      </c>
      <c r="AU17" s="2" t="str">
        <f t="shared" si="0"/>
        <v>('b7ef23c9-043e-4a47-a68f-7123f9a27584','2025-06-17 03:00:05.236692+00','866dabc4-6501-44d2-a0e5-65da9c45a46e','2025-06-17 03:00:05.236692+00','866dabc4-6501-44d2-a0e5-65da9c45a46e',TRUE,6701952,FALSE,3,34,23,'4:05:00'),</v>
      </c>
    </row>
    <row r="18" spans="1:47" x14ac:dyDescent="0.25">
      <c r="A18" t="s">
        <v>126</v>
      </c>
      <c r="B18" t="s">
        <v>767</v>
      </c>
      <c r="C18" t="s">
        <v>0</v>
      </c>
      <c r="D18" t="s">
        <v>767</v>
      </c>
      <c r="E18" t="s">
        <v>0</v>
      </c>
      <c r="F18" t="b">
        <v>1</v>
      </c>
      <c r="G18">
        <v>6702221</v>
      </c>
      <c r="H18" t="b">
        <v>0</v>
      </c>
      <c r="I18">
        <v>3</v>
      </c>
      <c r="N18">
        <v>34</v>
      </c>
      <c r="P18">
        <v>23</v>
      </c>
      <c r="S18" s="1" t="s">
        <v>137</v>
      </c>
      <c r="AU18" s="2" t="str">
        <f t="shared" si="0"/>
        <v>('728de94d-48b4-4cf3-a10b-0f75cde7b7d6','2025-06-17 03:00:05.236692+00','866dabc4-6501-44d2-a0e5-65da9c45a46e','2025-06-17 03:00:05.236692+00','866dabc4-6501-44d2-a0e5-65da9c45a46e',TRUE,6702221,FALSE,3,34,23,'4:05:00'),</v>
      </c>
    </row>
    <row r="19" spans="1:47" x14ac:dyDescent="0.25">
      <c r="A19" t="s">
        <v>127</v>
      </c>
      <c r="B19" t="s">
        <v>767</v>
      </c>
      <c r="C19" t="s">
        <v>0</v>
      </c>
      <c r="D19" t="s">
        <v>767</v>
      </c>
      <c r="E19" t="s">
        <v>0</v>
      </c>
      <c r="F19" t="b">
        <v>1</v>
      </c>
      <c r="G19">
        <v>67030106</v>
      </c>
      <c r="H19" t="b">
        <v>0</v>
      </c>
      <c r="I19">
        <v>3</v>
      </c>
      <c r="N19">
        <v>34</v>
      </c>
      <c r="P19">
        <v>23</v>
      </c>
      <c r="S19" s="1" t="s">
        <v>137</v>
      </c>
      <c r="AU19" s="2" t="str">
        <f t="shared" si="0"/>
        <v>('196c3eb2-62ff-4568-9311-7cd24b1e5d92','2025-06-17 03:00:05.236692+00','866dabc4-6501-44d2-a0e5-65da9c45a46e','2025-06-17 03:00:05.236692+00','866dabc4-6501-44d2-a0e5-65da9c45a46e',TRUE,67030106,FALSE,3,34,23,'4:05:00'),</v>
      </c>
    </row>
    <row r="20" spans="1:47" x14ac:dyDescent="0.25">
      <c r="A20" t="s">
        <v>128</v>
      </c>
      <c r="B20" t="s">
        <v>767</v>
      </c>
      <c r="C20" t="s">
        <v>0</v>
      </c>
      <c r="D20" t="s">
        <v>767</v>
      </c>
      <c r="E20" t="s">
        <v>0</v>
      </c>
      <c r="F20" t="b">
        <v>1</v>
      </c>
      <c r="G20">
        <v>184706</v>
      </c>
      <c r="H20" t="b">
        <v>0</v>
      </c>
      <c r="I20">
        <v>3</v>
      </c>
      <c r="N20">
        <v>34</v>
      </c>
      <c r="P20">
        <v>23</v>
      </c>
      <c r="S20" s="1" t="s">
        <v>137</v>
      </c>
      <c r="AU20" s="2" t="str">
        <f t="shared" si="0"/>
        <v>('c1bfa478-7ea9-44cd-8fd3-1a4d9f0c8e37','2025-06-17 03:00:05.236692+00','866dabc4-6501-44d2-a0e5-65da9c45a46e','2025-06-17 03:00:05.236692+00','866dabc4-6501-44d2-a0e5-65da9c45a46e',TRUE,184706,FALSE,3,34,23,'4:05:00'),</v>
      </c>
    </row>
    <row r="21" spans="1:47" x14ac:dyDescent="0.25">
      <c r="A21" t="s">
        <v>129</v>
      </c>
      <c r="B21" t="s">
        <v>767</v>
      </c>
      <c r="C21" t="s">
        <v>0</v>
      </c>
      <c r="D21" t="s">
        <v>767</v>
      </c>
      <c r="E21" t="s">
        <v>0</v>
      </c>
      <c r="F21" t="b">
        <v>1</v>
      </c>
      <c r="G21">
        <v>530323</v>
      </c>
      <c r="H21" t="b">
        <v>0</v>
      </c>
      <c r="I21">
        <v>3</v>
      </c>
      <c r="N21">
        <v>34</v>
      </c>
      <c r="P21">
        <v>23</v>
      </c>
      <c r="S21" s="1" t="s">
        <v>137</v>
      </c>
      <c r="AU21" s="2" t="str">
        <f t="shared" si="0"/>
        <v>('2e0f95c1-8bda-40d9-8497-5fd5cdce7284','2025-06-17 03:00:05.236692+00','866dabc4-6501-44d2-a0e5-65da9c45a46e','2025-06-17 03:00:05.236692+00','866dabc4-6501-44d2-a0e5-65da9c45a46e',TRUE,530323,FALSE,3,34,23,'4:05:00'),</v>
      </c>
    </row>
    <row r="22" spans="1:47" x14ac:dyDescent="0.25">
      <c r="A22" t="s">
        <v>130</v>
      </c>
      <c r="B22" t="s">
        <v>767</v>
      </c>
      <c r="C22" t="s">
        <v>0</v>
      </c>
      <c r="D22" t="s">
        <v>767</v>
      </c>
      <c r="E22" t="s">
        <v>0</v>
      </c>
      <c r="F22" t="b">
        <v>1</v>
      </c>
      <c r="G22">
        <v>6706476</v>
      </c>
      <c r="H22" t="b">
        <v>0</v>
      </c>
      <c r="I22">
        <v>3</v>
      </c>
      <c r="N22">
        <v>34</v>
      </c>
      <c r="P22">
        <v>23</v>
      </c>
      <c r="S22" s="1" t="s">
        <v>137</v>
      </c>
      <c r="AU22" s="2" t="str">
        <f t="shared" si="0"/>
        <v>('0f34b8c9-5293-4c45-b2a4-8e2d7f8dcb36','2025-06-17 03:00:05.236692+00','866dabc4-6501-44d2-a0e5-65da9c45a46e','2025-06-17 03:00:05.236692+00','866dabc4-6501-44d2-a0e5-65da9c45a46e',TRUE,6706476,FALSE,3,34,23,'4:05:00'),</v>
      </c>
    </row>
    <row r="23" spans="1:47" x14ac:dyDescent="0.25">
      <c r="A23" t="s">
        <v>131</v>
      </c>
      <c r="B23" t="s">
        <v>767</v>
      </c>
      <c r="C23" t="s">
        <v>0</v>
      </c>
      <c r="D23" t="s">
        <v>767</v>
      </c>
      <c r="E23" t="s">
        <v>0</v>
      </c>
      <c r="F23" t="b">
        <v>1</v>
      </c>
      <c r="G23">
        <v>361343</v>
      </c>
      <c r="H23" t="b">
        <v>0</v>
      </c>
      <c r="I23">
        <v>3</v>
      </c>
      <c r="N23">
        <v>34</v>
      </c>
      <c r="P23">
        <v>23</v>
      </c>
      <c r="S23" s="1" t="s">
        <v>137</v>
      </c>
      <c r="AU23" s="2" t="str">
        <f t="shared" si="0"/>
        <v>('84b9c3f2-1a05-42e7-911d-4e5c2a7d4b92','2025-06-17 03:00:05.236692+00','866dabc4-6501-44d2-a0e5-65da9c45a46e','2025-06-17 03:00:05.236692+00','866dabc4-6501-44d2-a0e5-65da9c45a46e',TRUE,361343,FALSE,3,34,23,'4:05:00'),</v>
      </c>
    </row>
    <row r="24" spans="1:47" x14ac:dyDescent="0.25">
      <c r="A24" t="s">
        <v>132</v>
      </c>
      <c r="B24" t="s">
        <v>767</v>
      </c>
      <c r="C24" t="s">
        <v>0</v>
      </c>
      <c r="D24" t="s">
        <v>767</v>
      </c>
      <c r="E24" t="s">
        <v>0</v>
      </c>
      <c r="F24" t="b">
        <v>1</v>
      </c>
      <c r="G24">
        <v>6705071</v>
      </c>
      <c r="H24" t="b">
        <v>0</v>
      </c>
      <c r="I24">
        <v>3</v>
      </c>
      <c r="N24">
        <v>34</v>
      </c>
      <c r="P24">
        <v>23</v>
      </c>
      <c r="S24" s="1" t="s">
        <v>137</v>
      </c>
      <c r="AU24" s="2" t="str">
        <f t="shared" si="0"/>
        <v>('7a9d82e3-67f5-41f9-b3c8-2a4f5e0d7b91','2025-06-17 03:00:05.236692+00','866dabc4-6501-44d2-a0e5-65da9c45a46e','2025-06-17 03:00:05.236692+00','866dabc4-6501-44d2-a0e5-65da9c45a46e',TRUE,6705071,FALSE,3,34,23,'4:05:00'),</v>
      </c>
    </row>
    <row r="25" spans="1:47" x14ac:dyDescent="0.25">
      <c r="A25" t="s">
        <v>133</v>
      </c>
      <c r="B25" t="s">
        <v>767</v>
      </c>
      <c r="C25" t="s">
        <v>0</v>
      </c>
      <c r="D25" t="s">
        <v>767</v>
      </c>
      <c r="E25" t="s">
        <v>0</v>
      </c>
      <c r="F25" t="b">
        <v>1</v>
      </c>
      <c r="G25">
        <v>6706961</v>
      </c>
      <c r="H25" t="b">
        <v>0</v>
      </c>
      <c r="I25">
        <v>3</v>
      </c>
      <c r="N25">
        <v>34</v>
      </c>
      <c r="P25">
        <v>23</v>
      </c>
      <c r="S25" s="1" t="s">
        <v>137</v>
      </c>
      <c r="AU25" s="2" t="str">
        <f t="shared" si="0"/>
        <v>('461c8f7b-b9e2-4e37-95a8-1d74f93a6c85','2025-06-17 03:00:05.236692+00','866dabc4-6501-44d2-a0e5-65da9c45a46e','2025-06-17 03:00:05.236692+00','866dabc4-6501-44d2-a0e5-65da9c45a46e',TRUE,6706961,FALSE,3,34,23,'4:05:00'),</v>
      </c>
    </row>
    <row r="26" spans="1:47" x14ac:dyDescent="0.25">
      <c r="A26" t="s">
        <v>134</v>
      </c>
      <c r="B26" t="s">
        <v>767</v>
      </c>
      <c r="C26" t="s">
        <v>0</v>
      </c>
      <c r="D26" t="s">
        <v>767</v>
      </c>
      <c r="E26" t="s">
        <v>0</v>
      </c>
      <c r="F26" t="b">
        <v>1</v>
      </c>
      <c r="G26">
        <v>6800002</v>
      </c>
      <c r="H26" t="b">
        <v>0</v>
      </c>
      <c r="I26">
        <v>3</v>
      </c>
      <c r="N26">
        <v>34</v>
      </c>
      <c r="P26">
        <v>23</v>
      </c>
      <c r="S26" s="1" t="s">
        <v>137</v>
      </c>
      <c r="AU26" s="2" t="str">
        <f t="shared" si="0"/>
        <v>('d72f48a9-8b63-4f8d-847c-3a5b0c1e9f62','2025-06-17 03:00:05.236692+00','866dabc4-6501-44d2-a0e5-65da9c45a46e','2025-06-17 03:00:05.236692+00','866dabc4-6501-44d2-a0e5-65da9c45a46e',TRUE,6800002,FALSE,3,34,23,'4:05:00'),</v>
      </c>
    </row>
    <row r="27" spans="1:47" x14ac:dyDescent="0.25">
      <c r="A27" t="s">
        <v>135</v>
      </c>
      <c r="B27" t="s">
        <v>767</v>
      </c>
      <c r="C27" t="s">
        <v>0</v>
      </c>
      <c r="D27" t="s">
        <v>767</v>
      </c>
      <c r="E27" t="s">
        <v>0</v>
      </c>
      <c r="F27" t="b">
        <v>1</v>
      </c>
      <c r="G27">
        <v>6800776</v>
      </c>
      <c r="H27" t="b">
        <v>0</v>
      </c>
      <c r="I27">
        <v>3</v>
      </c>
      <c r="N27">
        <v>34</v>
      </c>
      <c r="P27">
        <v>23</v>
      </c>
      <c r="S27" s="1" t="s">
        <v>137</v>
      </c>
      <c r="AU27" s="2" t="str">
        <f t="shared" si="0"/>
        <v>('5e8b1a3c-9f47-4d2b-b8e7-a31c5d7f2b64','2025-06-17 03:00:05.236692+00','866dabc4-6501-44d2-a0e5-65da9c45a46e','2025-06-17 03:00:05.236692+00','866dabc4-6501-44d2-a0e5-65da9c45a46e',TRUE,6800776,FALSE,3,34,23,'4:05:00'),</v>
      </c>
    </row>
    <row r="28" spans="1:47" x14ac:dyDescent="0.25">
      <c r="A28" t="s">
        <v>138</v>
      </c>
      <c r="B28" t="s">
        <v>767</v>
      </c>
      <c r="C28" t="s">
        <v>0</v>
      </c>
      <c r="D28" t="s">
        <v>767</v>
      </c>
      <c r="E28" t="s">
        <v>0</v>
      </c>
      <c r="F28" t="b">
        <v>1</v>
      </c>
      <c r="G28">
        <v>6802616</v>
      </c>
      <c r="H28" t="b">
        <v>0</v>
      </c>
      <c r="I28">
        <v>3</v>
      </c>
      <c r="N28">
        <v>34</v>
      </c>
      <c r="P28">
        <v>23</v>
      </c>
      <c r="S28" s="1" t="s">
        <v>137</v>
      </c>
      <c r="AU28" s="2" t="str">
        <f t="shared" si="0"/>
        <v>('d2c4a7f9-3b81-401e-92d8-4c75b8e36f12','2025-06-17 03:00:05.236692+00','866dabc4-6501-44d2-a0e5-65da9c45a46e','2025-06-17 03:00:05.236692+00','866dabc4-6501-44d2-a0e5-65da9c45a46e',TRUE,6802616,FALSE,3,34,23,'4:05:00'),</v>
      </c>
    </row>
    <row r="29" spans="1:47" x14ac:dyDescent="0.25">
      <c r="A29" t="s">
        <v>139</v>
      </c>
      <c r="B29" t="s">
        <v>767</v>
      </c>
      <c r="C29" t="s">
        <v>0</v>
      </c>
      <c r="D29" t="s">
        <v>767</v>
      </c>
      <c r="E29" t="s">
        <v>0</v>
      </c>
      <c r="F29" t="b">
        <v>1</v>
      </c>
      <c r="G29">
        <v>6802588</v>
      </c>
      <c r="H29" t="b">
        <v>0</v>
      </c>
      <c r="I29">
        <v>3</v>
      </c>
      <c r="N29">
        <v>34</v>
      </c>
      <c r="P29">
        <v>23</v>
      </c>
      <c r="S29" s="1" t="s">
        <v>137</v>
      </c>
      <c r="AU29" s="2" t="str">
        <f t="shared" si="0"/>
        <v>('8f4d23a7-6e91-4c5b-b2c9-71d5f38a0e57','2025-06-17 03:00:05.236692+00','866dabc4-6501-44d2-a0e5-65da9c45a46e','2025-06-17 03:00:05.236692+00','866dabc4-6501-44d2-a0e5-65da9c45a46e',TRUE,6802588,FALSE,3,34,23,'4:05:00'),</v>
      </c>
    </row>
    <row r="30" spans="1:47" x14ac:dyDescent="0.25">
      <c r="A30" t="s">
        <v>136</v>
      </c>
      <c r="B30" t="s">
        <v>767</v>
      </c>
      <c r="C30" t="s">
        <v>0</v>
      </c>
      <c r="D30" t="s">
        <v>767</v>
      </c>
      <c r="E30" t="s">
        <v>0</v>
      </c>
      <c r="F30" t="b">
        <v>1</v>
      </c>
      <c r="G30">
        <v>6411508</v>
      </c>
      <c r="H30" t="b">
        <v>0</v>
      </c>
      <c r="I30">
        <v>3</v>
      </c>
      <c r="N30">
        <v>34</v>
      </c>
      <c r="P30">
        <v>23</v>
      </c>
      <c r="S30" s="1" t="s">
        <v>137</v>
      </c>
      <c r="AU30" s="2" t="str">
        <f>_xlfn.CONCAT("('",A30,"','",B30,"','",C30,"','",D30,"','",E30,"',",F30,",",G30,",",H30,",",I30,",",N30,",",P30,",'",S30,"'),")</f>
        <v>('a3b72e91-5d48-4c9f-81f7-2d0c6b4a5e38','2025-06-17 03:00:05.236692+00','866dabc4-6501-44d2-a0e5-65da9c45a46e','2025-06-17 03:00:05.236692+00','866dabc4-6501-44d2-a0e5-65da9c45a46e',TRUE,6411508,FALSE,3,34,23,'4:05:00'),</v>
      </c>
    </row>
    <row r="31" spans="1:47" x14ac:dyDescent="0.25">
      <c r="A31" t="s">
        <v>142</v>
      </c>
      <c r="B31" t="s">
        <v>767</v>
      </c>
      <c r="C31" t="s">
        <v>0</v>
      </c>
      <c r="D31" t="s">
        <v>767</v>
      </c>
      <c r="E31" t="s">
        <v>0</v>
      </c>
      <c r="F31" t="b">
        <v>1</v>
      </c>
      <c r="G31">
        <v>6802740</v>
      </c>
      <c r="H31" t="b">
        <v>0</v>
      </c>
      <c r="I31">
        <v>3</v>
      </c>
      <c r="N31">
        <v>34</v>
      </c>
      <c r="P31">
        <v>23</v>
      </c>
      <c r="S31" s="1" t="s">
        <v>137</v>
      </c>
      <c r="AU31" s="2" t="str">
        <f>_xlfn.CONCAT("('",A31,"','",B31,"','",C31,"','",D31,"','",E31,"',",F31,",",G31,",",H31,",",I31,",",N31,",",P31,",'",S31,"'),")</f>
        <v>('5e8b1a3c-9f47-4d2b-b8e7-a31c5d7f2b65','2025-06-17 03:00:05.236692+00','866dabc4-6501-44d2-a0e5-65da9c45a46e','2025-06-17 03:00:05.236692+00','866dabc4-6501-44d2-a0e5-65da9c45a46e',TRUE,6802740,FALSE,3,34,23,'4:05:00'),</v>
      </c>
    </row>
    <row r="33" spans="47:47" x14ac:dyDescent="0.25">
      <c r="AU33" s="2" t="s">
        <v>768</v>
      </c>
    </row>
    <row r="34" spans="47:47" x14ac:dyDescent="0.25">
      <c r="AU34" s="2" t="s">
        <v>769</v>
      </c>
    </row>
    <row r="35" spans="47:47" x14ac:dyDescent="0.25">
      <c r="AU35" s="2" t="s">
        <v>770</v>
      </c>
    </row>
    <row r="36" spans="47:47" x14ac:dyDescent="0.25">
      <c r="AU36" s="2" t="s">
        <v>771</v>
      </c>
    </row>
    <row r="37" spans="47:47" x14ac:dyDescent="0.25">
      <c r="AU37" s="2" t="s">
        <v>772</v>
      </c>
    </row>
    <row r="38" spans="47:47" x14ac:dyDescent="0.25">
      <c r="AU38" s="2" t="s">
        <v>773</v>
      </c>
    </row>
    <row r="39" spans="47:47" x14ac:dyDescent="0.25">
      <c r="AU39" s="2" t="s">
        <v>774</v>
      </c>
    </row>
    <row r="40" spans="47:47" x14ac:dyDescent="0.25">
      <c r="AU40" s="2" t="s">
        <v>775</v>
      </c>
    </row>
    <row r="41" spans="47:47" x14ac:dyDescent="0.25">
      <c r="AU41" s="2" t="s">
        <v>776</v>
      </c>
    </row>
    <row r="42" spans="47:47" x14ac:dyDescent="0.25">
      <c r="AU42" s="2" t="s">
        <v>777</v>
      </c>
    </row>
    <row r="43" spans="47:47" x14ac:dyDescent="0.25">
      <c r="AU43" s="2" t="s">
        <v>778</v>
      </c>
    </row>
    <row r="44" spans="47:47" x14ac:dyDescent="0.25">
      <c r="AU44" s="2" t="s">
        <v>779</v>
      </c>
    </row>
    <row r="45" spans="47:47" x14ac:dyDescent="0.25">
      <c r="AU45" s="2" t="s">
        <v>780</v>
      </c>
    </row>
    <row r="46" spans="47:47" x14ac:dyDescent="0.25">
      <c r="AU46" s="2" t="s">
        <v>781</v>
      </c>
    </row>
    <row r="47" spans="47:47" x14ac:dyDescent="0.25">
      <c r="AU47" s="2" t="s">
        <v>782</v>
      </c>
    </row>
    <row r="48" spans="47:47" x14ac:dyDescent="0.25">
      <c r="AU48" s="2" t="s">
        <v>783</v>
      </c>
    </row>
    <row r="49" spans="47:47" x14ac:dyDescent="0.25">
      <c r="AU49" s="2" t="s">
        <v>784</v>
      </c>
    </row>
    <row r="50" spans="47:47" x14ac:dyDescent="0.25">
      <c r="AU50" s="2" t="s">
        <v>785</v>
      </c>
    </row>
    <row r="51" spans="47:47" x14ac:dyDescent="0.25">
      <c r="AU51" s="2" t="s">
        <v>786</v>
      </c>
    </row>
    <row r="52" spans="47:47" x14ac:dyDescent="0.25">
      <c r="AU52" s="2" t="s">
        <v>787</v>
      </c>
    </row>
    <row r="53" spans="47:47" x14ac:dyDescent="0.25">
      <c r="AU53" s="2" t="s">
        <v>788</v>
      </c>
    </row>
    <row r="54" spans="47:47" x14ac:dyDescent="0.25">
      <c r="AU54" s="2" t="s">
        <v>789</v>
      </c>
    </row>
    <row r="55" spans="47:47" x14ac:dyDescent="0.25">
      <c r="AU55" s="2" t="s">
        <v>790</v>
      </c>
    </row>
    <row r="56" spans="47:47" x14ac:dyDescent="0.25">
      <c r="AU56" s="2" t="s">
        <v>791</v>
      </c>
    </row>
    <row r="57" spans="47:47" x14ac:dyDescent="0.25">
      <c r="AU57" s="2" t="s">
        <v>792</v>
      </c>
    </row>
    <row r="58" spans="47:47" x14ac:dyDescent="0.25">
      <c r="AU58" s="2" t="s">
        <v>793</v>
      </c>
    </row>
    <row r="59" spans="47:47" x14ac:dyDescent="0.25">
      <c r="AU59" s="2" t="s">
        <v>794</v>
      </c>
    </row>
    <row r="60" spans="47:47" x14ac:dyDescent="0.25">
      <c r="AU60" s="2" t="s">
        <v>795</v>
      </c>
    </row>
    <row r="61" spans="47:47" x14ac:dyDescent="0.25">
      <c r="AU61" s="2" t="s">
        <v>796</v>
      </c>
    </row>
    <row r="62" spans="47:47" x14ac:dyDescent="0.25">
      <c r="AU62" s="2" t="s">
        <v>797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1EAF-62FD-43DE-8D0B-37DC10EC98E6}">
  <sheetPr>
    <tabColor theme="7" tint="-0.249977111117893"/>
  </sheetPr>
  <dimension ref="A1:AM115"/>
  <sheetViews>
    <sheetView topLeftCell="A46" workbookViewId="0">
      <selection activeCell="M78" sqref="M78:M119"/>
    </sheetView>
  </sheetViews>
  <sheetFormatPr defaultRowHeight="15" x14ac:dyDescent="0.25"/>
  <cols>
    <col min="1" max="1" width="38" customWidth="1"/>
    <col min="2" max="2" width="2.5703125" customWidth="1"/>
    <col min="3" max="3" width="2.42578125" customWidth="1"/>
    <col min="4" max="4" width="3.42578125" customWidth="1"/>
    <col min="5" max="5" width="3.140625" customWidth="1"/>
    <col min="6" max="6" width="2.5703125" customWidth="1"/>
    <col min="7" max="7" width="10" style="34" customWidth="1"/>
    <col min="8" max="8" width="21.5703125" style="12" customWidth="1"/>
    <col min="9" max="10" width="2.42578125" customWidth="1"/>
    <col min="11" max="11" width="7.85546875" style="13" bestFit="1" customWidth="1"/>
    <col min="12" max="17" width="2.140625" customWidth="1"/>
    <col min="18" max="19" width="8.5703125" style="12" customWidth="1"/>
    <col min="20" max="23" width="2.42578125" customWidth="1"/>
    <col min="24" max="24" width="9" style="12" customWidth="1"/>
    <col min="25" max="27" width="2.140625" customWidth="1"/>
    <col min="28" max="28" width="36.5703125" style="14" bestFit="1" customWidth="1"/>
    <col min="29" max="33" width="2.7109375" customWidth="1"/>
    <col min="34" max="34" width="37.5703125" style="15" bestFit="1" customWidth="1"/>
    <col min="35" max="37" width="2.5703125" customWidth="1"/>
    <col min="38" max="38" width="114" customWidth="1"/>
  </cols>
  <sheetData>
    <row r="1" spans="1:39" ht="63.75" customHeight="1" x14ac:dyDescent="0.25">
      <c r="I1" t="s">
        <v>214</v>
      </c>
      <c r="L1" t="s">
        <v>216</v>
      </c>
      <c r="P1" t="s">
        <v>214</v>
      </c>
      <c r="R1" s="12" t="s">
        <v>219</v>
      </c>
      <c r="S1" s="12" t="s">
        <v>219</v>
      </c>
      <c r="T1" t="s">
        <v>219</v>
      </c>
      <c r="U1" t="s">
        <v>219</v>
      </c>
      <c r="V1" t="s">
        <v>219</v>
      </c>
      <c r="W1" t="s">
        <v>219</v>
      </c>
      <c r="X1" s="12" t="s">
        <v>219</v>
      </c>
      <c r="Y1" t="s">
        <v>219</v>
      </c>
      <c r="AA1" t="s">
        <v>216</v>
      </c>
      <c r="AC1" t="s">
        <v>214</v>
      </c>
      <c r="AD1" t="s">
        <v>219</v>
      </c>
      <c r="AG1" t="s">
        <v>214</v>
      </c>
      <c r="AM1" t="s">
        <v>220</v>
      </c>
    </row>
    <row r="2" spans="1:39" x14ac:dyDescent="0.25">
      <c r="A2" s="35" t="s">
        <v>16</v>
      </c>
      <c r="B2" s="35" t="s">
        <v>178</v>
      </c>
      <c r="C2" s="35" t="s">
        <v>179</v>
      </c>
      <c r="D2" s="35" t="s">
        <v>180</v>
      </c>
      <c r="E2" s="35" t="s">
        <v>181</v>
      </c>
      <c r="F2" s="35" t="s">
        <v>182</v>
      </c>
      <c r="G2" s="36" t="s">
        <v>183</v>
      </c>
      <c r="H2" s="35" t="s">
        <v>184</v>
      </c>
      <c r="I2" s="35" t="s">
        <v>185</v>
      </c>
      <c r="J2" s="35" t="s">
        <v>186</v>
      </c>
      <c r="K2" s="35" t="s">
        <v>187</v>
      </c>
      <c r="L2" s="35" t="s">
        <v>188</v>
      </c>
      <c r="M2" s="35" t="s">
        <v>189</v>
      </c>
      <c r="N2" s="35" t="s">
        <v>190</v>
      </c>
      <c r="O2" s="35" t="s">
        <v>191</v>
      </c>
      <c r="P2" s="35" t="s">
        <v>192</v>
      </c>
      <c r="Q2" s="35" t="s">
        <v>193</v>
      </c>
      <c r="R2" s="35" t="s">
        <v>194</v>
      </c>
      <c r="S2" s="35" t="s">
        <v>195</v>
      </c>
      <c r="T2" s="35" t="s">
        <v>196</v>
      </c>
      <c r="U2" s="35" t="s">
        <v>197</v>
      </c>
      <c r="V2" s="35" t="s">
        <v>198</v>
      </c>
      <c r="W2" s="35" t="s">
        <v>199</v>
      </c>
      <c r="X2" s="35" t="s">
        <v>200</v>
      </c>
      <c r="Y2" s="35" t="s">
        <v>201</v>
      </c>
      <c r="Z2" s="35" t="s">
        <v>202</v>
      </c>
      <c r="AA2" s="35" t="s">
        <v>203</v>
      </c>
      <c r="AB2" s="35" t="s">
        <v>204</v>
      </c>
      <c r="AC2" s="35" t="s">
        <v>205</v>
      </c>
      <c r="AD2" s="35" t="s">
        <v>206</v>
      </c>
      <c r="AE2" s="35" t="s">
        <v>207</v>
      </c>
      <c r="AF2" s="35" t="s">
        <v>208</v>
      </c>
      <c r="AG2" s="35" t="s">
        <v>209</v>
      </c>
      <c r="AH2" s="35" t="s">
        <v>210</v>
      </c>
      <c r="AI2" s="35" t="s">
        <v>211</v>
      </c>
      <c r="AJ2" s="35" t="s">
        <v>212</v>
      </c>
      <c r="AK2" s="35"/>
      <c r="AL2" t="str">
        <f>_xlfn.CONCAT("('",A3,"','",B3,"','",C3,"','",D3,"','",E3,"',",F3,",'",G3,"','",H3,"',",I3,",",J3,",'",K3,"','",L3,"','",M3,"','",N3,"',",O3,",",P3,",",Q3,",",R3,",",S3,",",T3,",",U3,",",V3,",",W3,",",X3,",",Y3,",",Z3,",'",AA3,"','",AB3,"',",AC3,",",AD3,",",AE3,",",AF3,",",AG3,",'",AH3,"',",AI3,",",AJ3,"),")</f>
        <v>('d473d82c-0612-4832-9784-31518d3f47fa','2025-05-31 08:27:43.267332+00','866dabc4-6501-44d2-a0e5-65da9c45a46e','2025-05-31 08:27:43.267332+00','866dabc4-6501-44d2-a0e5-65da9c45a46e',TRUE,'001','2024-01-01',0,FALSE,'Unit1','','2022-04-01 08:27:00+00','2022-04-02 08:27:00+00',FALSE,0,FALSE,78,76,0,0,0,0,78,0,FALSE,'','f04be108-eb7e-470f-9fea-cccc2ffef804',1,0,FALSE,0,1,'4dbc7800-d343-4d6e-ab27-a7706b0cd126',FALSE,0),</v>
      </c>
      <c r="AM2" t="s">
        <v>220</v>
      </c>
    </row>
    <row r="3" spans="1:39" x14ac:dyDescent="0.25">
      <c r="A3" t="s">
        <v>243</v>
      </c>
      <c r="B3" t="s">
        <v>213</v>
      </c>
      <c r="C3" t="s">
        <v>0</v>
      </c>
      <c r="D3" t="s">
        <v>213</v>
      </c>
      <c r="E3" t="s">
        <v>0</v>
      </c>
      <c r="F3" t="b">
        <v>1</v>
      </c>
      <c r="G3" s="34" t="s">
        <v>322</v>
      </c>
      <c r="H3" s="33" t="s">
        <v>323</v>
      </c>
      <c r="I3">
        <v>0</v>
      </c>
      <c r="J3" t="b">
        <v>0</v>
      </c>
      <c r="K3" s="13" t="s">
        <v>215</v>
      </c>
      <c r="M3" t="s">
        <v>217</v>
      </c>
      <c r="N3" t="s">
        <v>218</v>
      </c>
      <c r="O3" t="b">
        <v>0</v>
      </c>
      <c r="P3">
        <v>0</v>
      </c>
      <c r="Q3" t="b">
        <v>0</v>
      </c>
      <c r="R3" s="12">
        <v>78</v>
      </c>
      <c r="S3" s="12">
        <v>76</v>
      </c>
      <c r="T3">
        <v>0</v>
      </c>
      <c r="U3">
        <v>0</v>
      </c>
      <c r="V3">
        <v>0</v>
      </c>
      <c r="W3">
        <v>0</v>
      </c>
      <c r="X3" s="12">
        <v>78</v>
      </c>
      <c r="Y3">
        <v>0</v>
      </c>
      <c r="Z3" t="b">
        <v>0</v>
      </c>
      <c r="AB3" s="14" t="s">
        <v>349</v>
      </c>
      <c r="AC3">
        <v>1</v>
      </c>
      <c r="AD3">
        <v>0</v>
      </c>
      <c r="AE3" t="b">
        <v>0</v>
      </c>
      <c r="AF3">
        <v>0</v>
      </c>
      <c r="AG3">
        <v>1</v>
      </c>
      <c r="AH3" s="15" t="s">
        <v>38</v>
      </c>
      <c r="AI3" t="b">
        <v>0</v>
      </c>
      <c r="AJ3">
        <v>0</v>
      </c>
      <c r="AL3" t="str">
        <f t="shared" ref="AL3:AL66" si="0">_xlfn.CONCAT("('",A4,"','",B4,"','",C4,"','",D4,"','",E4,"',",F4,",'",G4,"','",H4,"',",I4,",",J4,",'",K4,"','",L4,"','",M4,"','",N4,"',",O4,",",P4,",",Q4,",",R4,",",S4,",",T4,",",U4,",",V4,",",W4,",",X4,",",Y4,",",Z4,",'",AA4,"','",AB4,"',",AC4,",",AD4,",",AE4,",",AF4,",",AG4,",'",AH4,"',",AI4,",",AJ4,"),")</f>
        <v>('5e08b702-2bd7-4b8d-b8e3-ceda34a9db63','2025-05-31 08:27:43.267332+00','866dabc4-6501-44d2-a0e5-65da9c45a46e','2025-05-31 08:27:43.267332+00','866dabc4-6501-44d2-a0e5-65da9c45a46e',TRUE,'001','2024-01-04',0,FALSE,'Unit1','','2022-04-01 08:27:00+00','2022-04-02 08:27:00+00',FALSE,0,FALSE,78,76,0,0,0,0,78,0,FALSE,'','f04be108-eb7e-470f-9fea-cccc2ffef804',1,0,FALSE,0,1,'4dbc7800-d343-4d6e-ab27-a7706b0cd126',FALSE,0),</v>
      </c>
      <c r="AM3" t="s">
        <v>220</v>
      </c>
    </row>
    <row r="4" spans="1:39" x14ac:dyDescent="0.25">
      <c r="A4" t="s">
        <v>244</v>
      </c>
      <c r="B4" t="s">
        <v>213</v>
      </c>
      <c r="C4" t="s">
        <v>0</v>
      </c>
      <c r="D4" t="s">
        <v>213</v>
      </c>
      <c r="E4" t="s">
        <v>0</v>
      </c>
      <c r="F4" t="b">
        <v>1</v>
      </c>
      <c r="G4" s="34" t="s">
        <v>322</v>
      </c>
      <c r="H4" s="33" t="s">
        <v>324</v>
      </c>
      <c r="I4">
        <v>0</v>
      </c>
      <c r="J4" t="b">
        <v>0</v>
      </c>
      <c r="K4" s="13" t="s">
        <v>215</v>
      </c>
      <c r="M4" t="s">
        <v>217</v>
      </c>
      <c r="N4" t="s">
        <v>218</v>
      </c>
      <c r="O4" t="b">
        <v>0</v>
      </c>
      <c r="P4">
        <v>0</v>
      </c>
      <c r="Q4" t="b">
        <v>0</v>
      </c>
      <c r="R4" s="12">
        <v>78</v>
      </c>
      <c r="S4" s="12">
        <v>76</v>
      </c>
      <c r="T4">
        <v>0</v>
      </c>
      <c r="U4">
        <v>0</v>
      </c>
      <c r="V4">
        <v>0</v>
      </c>
      <c r="W4">
        <v>0</v>
      </c>
      <c r="X4" s="12">
        <v>78</v>
      </c>
      <c r="Y4">
        <v>0</v>
      </c>
      <c r="Z4" t="b">
        <v>0</v>
      </c>
      <c r="AB4" s="14" t="s">
        <v>349</v>
      </c>
      <c r="AC4">
        <v>1</v>
      </c>
      <c r="AD4">
        <v>0</v>
      </c>
      <c r="AE4" t="b">
        <v>0</v>
      </c>
      <c r="AF4">
        <v>0</v>
      </c>
      <c r="AG4">
        <v>1</v>
      </c>
      <c r="AH4" s="15" t="s">
        <v>38</v>
      </c>
      <c r="AI4" t="b">
        <v>0</v>
      </c>
      <c r="AJ4">
        <v>0</v>
      </c>
      <c r="AL4" t="str">
        <f t="shared" si="0"/>
        <v>('a19cf7dd-1a8f-4710-9748-e94576874fbb','2025-05-31 08:27:43.267332+00','866dabc4-6501-44d2-a0e5-65da9c45a46e','2025-05-31 08:27:43.267332+00','866dabc4-6501-44d2-a0e5-65da9c45a46e',TRUE,'001','2024-01-08',0,FALSE,'Unit1','','2022-04-01 08:27:00+00','2022-04-02 08:27:00+00',FALSE,0,FALSE,78,76,0,0,0,0,78,0,FALSE,'','f04be108-eb7e-470f-9fea-cccc2ffef804',1,0,FALSE,0,1,'4dbc7800-d343-4d6e-ab27-a7706b0cd126',FALSE,0),</v>
      </c>
    </row>
    <row r="5" spans="1:39" x14ac:dyDescent="0.25">
      <c r="A5" t="s">
        <v>245</v>
      </c>
      <c r="B5" t="s">
        <v>213</v>
      </c>
      <c r="C5" t="s">
        <v>0</v>
      </c>
      <c r="D5" t="s">
        <v>213</v>
      </c>
      <c r="E5" t="s">
        <v>0</v>
      </c>
      <c r="F5" t="b">
        <v>1</v>
      </c>
      <c r="G5" s="34" t="s">
        <v>322</v>
      </c>
      <c r="H5" s="33" t="s">
        <v>325</v>
      </c>
      <c r="I5">
        <v>0</v>
      </c>
      <c r="J5" t="b">
        <v>0</v>
      </c>
      <c r="K5" s="13" t="s">
        <v>215</v>
      </c>
      <c r="M5" t="s">
        <v>217</v>
      </c>
      <c r="N5" t="s">
        <v>218</v>
      </c>
      <c r="O5" t="b">
        <v>0</v>
      </c>
      <c r="P5">
        <v>0</v>
      </c>
      <c r="Q5" t="b">
        <v>0</v>
      </c>
      <c r="R5" s="12">
        <v>78</v>
      </c>
      <c r="S5" s="12">
        <v>76</v>
      </c>
      <c r="T5">
        <v>0</v>
      </c>
      <c r="U5">
        <v>0</v>
      </c>
      <c r="V5">
        <v>0</v>
      </c>
      <c r="W5">
        <v>0</v>
      </c>
      <c r="X5" s="12">
        <v>78</v>
      </c>
      <c r="Y5">
        <v>0</v>
      </c>
      <c r="Z5" t="b">
        <v>0</v>
      </c>
      <c r="AB5" s="14" t="s">
        <v>349</v>
      </c>
      <c r="AC5">
        <v>1</v>
      </c>
      <c r="AD5">
        <v>0</v>
      </c>
      <c r="AE5" t="b">
        <v>0</v>
      </c>
      <c r="AF5">
        <v>0</v>
      </c>
      <c r="AG5">
        <v>1</v>
      </c>
      <c r="AH5" s="15" t="s">
        <v>38</v>
      </c>
      <c r="AI5" t="b">
        <v>0</v>
      </c>
      <c r="AJ5">
        <v>0</v>
      </c>
      <c r="AL5" t="str">
        <f t="shared" si="0"/>
        <v>('52600f9a-7af7-4108-8a14-71364081cbd6','2025-05-31 08:27:43.267332+00','866dabc4-6501-44d2-a0e5-65da9c45a46e','2025-05-31 08:27:43.267332+00','866dabc4-6501-44d2-a0e5-65da9c45a46e',TRUE,'001','2024-01-11',0,FALSE,'Unit1','','2022-04-01 08:27:00+00','2022-04-02 08:27:00+00',FALSE,0,FALSE,78,76,0,0,0,0,78,0,FALSE,'','f04be108-eb7e-470f-9fea-cccc2ffef804',1,0,FALSE,0,1,'4dbc7800-d343-4d6e-ab27-a7706b0cd126',FALSE,0),</v>
      </c>
    </row>
    <row r="6" spans="1:39" x14ac:dyDescent="0.25">
      <c r="A6" t="s">
        <v>246</v>
      </c>
      <c r="B6" t="s">
        <v>213</v>
      </c>
      <c r="C6" t="s">
        <v>0</v>
      </c>
      <c r="D6" t="s">
        <v>213</v>
      </c>
      <c r="E6" t="s">
        <v>0</v>
      </c>
      <c r="F6" t="b">
        <v>1</v>
      </c>
      <c r="G6" s="34" t="s">
        <v>322</v>
      </c>
      <c r="H6" s="33" t="s">
        <v>326</v>
      </c>
      <c r="I6">
        <v>0</v>
      </c>
      <c r="J6" t="b">
        <v>0</v>
      </c>
      <c r="K6" s="13" t="s">
        <v>215</v>
      </c>
      <c r="M6" t="s">
        <v>217</v>
      </c>
      <c r="N6" t="s">
        <v>218</v>
      </c>
      <c r="O6" t="b">
        <v>0</v>
      </c>
      <c r="P6">
        <v>0</v>
      </c>
      <c r="Q6" t="b">
        <v>0</v>
      </c>
      <c r="R6" s="12">
        <v>78</v>
      </c>
      <c r="S6" s="12">
        <v>76</v>
      </c>
      <c r="T6">
        <v>0</v>
      </c>
      <c r="U6">
        <v>0</v>
      </c>
      <c r="V6">
        <v>0</v>
      </c>
      <c r="W6">
        <v>0</v>
      </c>
      <c r="X6" s="12">
        <v>78</v>
      </c>
      <c r="Y6">
        <v>0</v>
      </c>
      <c r="Z6" t="b">
        <v>0</v>
      </c>
      <c r="AB6" s="14" t="s">
        <v>349</v>
      </c>
      <c r="AC6">
        <v>1</v>
      </c>
      <c r="AD6">
        <v>0</v>
      </c>
      <c r="AE6" t="b">
        <v>0</v>
      </c>
      <c r="AF6">
        <v>0</v>
      </c>
      <c r="AG6">
        <v>1</v>
      </c>
      <c r="AH6" s="15" t="s">
        <v>38</v>
      </c>
      <c r="AI6" t="b">
        <v>0</v>
      </c>
      <c r="AJ6">
        <v>0</v>
      </c>
      <c r="AL6" t="str">
        <f t="shared" si="0"/>
        <v>('87d39431-e5ad-4173-aee2-36939421ba00','2025-05-31 08:27:43.267332+00','866dabc4-6501-44d2-a0e5-65da9c45a46e','2025-05-31 08:27:43.267332+00','866dabc4-6501-44d2-a0e5-65da9c45a46e',TRUE,'001','2024-01-15',0,FALSE,'Unit1','','2022-04-01 08:27:00+00','2022-04-02 08:27:00+00',FALSE,0,FALSE,78,76,0,0,0,0,78,0,FALSE,'','f04be108-eb7e-470f-9fea-cccc2ffef804',1,0,FALSE,0,1,'4dbc7800-d343-4d6e-ab27-a7706b0cd126',FALSE,0),</v>
      </c>
    </row>
    <row r="7" spans="1:39" x14ac:dyDescent="0.25">
      <c r="A7" t="s">
        <v>247</v>
      </c>
      <c r="B7" t="s">
        <v>213</v>
      </c>
      <c r="C7" t="s">
        <v>0</v>
      </c>
      <c r="D7" t="s">
        <v>213</v>
      </c>
      <c r="E7" t="s">
        <v>0</v>
      </c>
      <c r="F7" t="b">
        <v>1</v>
      </c>
      <c r="G7" s="34" t="s">
        <v>322</v>
      </c>
      <c r="H7" s="33" t="s">
        <v>327</v>
      </c>
      <c r="I7">
        <v>0</v>
      </c>
      <c r="J7" t="b">
        <v>0</v>
      </c>
      <c r="K7" s="13" t="s">
        <v>215</v>
      </c>
      <c r="M7" t="s">
        <v>217</v>
      </c>
      <c r="N7" t="s">
        <v>218</v>
      </c>
      <c r="O7" t="b">
        <v>0</v>
      </c>
      <c r="P7">
        <v>0</v>
      </c>
      <c r="Q7" t="b">
        <v>0</v>
      </c>
      <c r="R7" s="12">
        <v>78</v>
      </c>
      <c r="S7" s="12">
        <v>76</v>
      </c>
      <c r="T7">
        <v>0</v>
      </c>
      <c r="U7">
        <v>0</v>
      </c>
      <c r="V7">
        <v>0</v>
      </c>
      <c r="W7">
        <v>0</v>
      </c>
      <c r="X7" s="12">
        <v>78</v>
      </c>
      <c r="Y7">
        <v>0</v>
      </c>
      <c r="Z7" t="b">
        <v>0</v>
      </c>
      <c r="AB7" s="14" t="s">
        <v>349</v>
      </c>
      <c r="AC7">
        <v>1</v>
      </c>
      <c r="AD7">
        <v>0</v>
      </c>
      <c r="AE7" t="b">
        <v>0</v>
      </c>
      <c r="AF7">
        <v>0</v>
      </c>
      <c r="AG7">
        <v>1</v>
      </c>
      <c r="AH7" s="15" t="s">
        <v>38</v>
      </c>
      <c r="AI7" t="b">
        <v>0</v>
      </c>
      <c r="AJ7">
        <v>0</v>
      </c>
      <c r="AL7" t="str">
        <f t="shared" si="0"/>
        <v>('4e9fce3c-dd84-40bf-a99c-c8e2a2700c4c','2025-05-31 08:27:43.267332+00','866dabc4-6501-44d2-a0e5-65da9c45a46e','2025-05-31 08:27:43.267332+00','866dabc4-6501-44d2-a0e5-65da9c45a46e',TRUE,'001','2024-01-18',0,FALSE,'Unit1','','2022-04-01 08:27:00+00','2022-04-02 08:27:00+00',FALSE,0,FALSE,78,76,0,0,0,0,78,0,FALSE,'','f04be108-eb7e-470f-9fea-cccc2ffef804',1,0,FALSE,0,1,'4dbc7800-d343-4d6e-ab27-a7706b0cd126',FALSE,0),</v>
      </c>
    </row>
    <row r="8" spans="1:39" x14ac:dyDescent="0.25">
      <c r="A8" t="s">
        <v>248</v>
      </c>
      <c r="B8" t="s">
        <v>213</v>
      </c>
      <c r="C8" t="s">
        <v>0</v>
      </c>
      <c r="D8" t="s">
        <v>213</v>
      </c>
      <c r="E8" t="s">
        <v>0</v>
      </c>
      <c r="F8" t="b">
        <v>1</v>
      </c>
      <c r="G8" s="34" t="s">
        <v>322</v>
      </c>
      <c r="H8" s="33" t="s">
        <v>328</v>
      </c>
      <c r="I8">
        <v>0</v>
      </c>
      <c r="J8" t="b">
        <v>0</v>
      </c>
      <c r="K8" s="13" t="s">
        <v>215</v>
      </c>
      <c r="M8" t="s">
        <v>217</v>
      </c>
      <c r="N8" t="s">
        <v>218</v>
      </c>
      <c r="O8" t="b">
        <v>0</v>
      </c>
      <c r="P8">
        <v>0</v>
      </c>
      <c r="Q8" t="b">
        <v>0</v>
      </c>
      <c r="R8" s="12">
        <v>78</v>
      </c>
      <c r="S8" s="12">
        <v>76</v>
      </c>
      <c r="T8">
        <v>0</v>
      </c>
      <c r="U8">
        <v>0</v>
      </c>
      <c r="V8">
        <v>0</v>
      </c>
      <c r="W8">
        <v>0</v>
      </c>
      <c r="X8" s="12">
        <v>78</v>
      </c>
      <c r="Y8">
        <v>0</v>
      </c>
      <c r="Z8" t="b">
        <v>0</v>
      </c>
      <c r="AB8" s="14" t="s">
        <v>349</v>
      </c>
      <c r="AC8">
        <v>1</v>
      </c>
      <c r="AD8">
        <v>0</v>
      </c>
      <c r="AE8" t="b">
        <v>0</v>
      </c>
      <c r="AF8">
        <v>0</v>
      </c>
      <c r="AG8">
        <v>1</v>
      </c>
      <c r="AH8" s="15" t="s">
        <v>38</v>
      </c>
      <c r="AI8" t="b">
        <v>0</v>
      </c>
      <c r="AJ8">
        <v>0</v>
      </c>
      <c r="AL8" t="str">
        <f t="shared" si="0"/>
        <v>('96d9ac55-6ffc-4dbe-b7af-04fc963c6607','2025-05-31 08:27:43.267332+00','866dabc4-6501-44d2-a0e5-65da9c45a46e','2025-05-31 08:27:43.267332+00','866dabc4-6501-44d2-a0e5-65da9c45a46e',TRUE,'001','2024-01-22',0,FALSE,'Unit1','','2022-04-01 08:27:00+00','2022-04-02 08:27:00+00',FALSE,0,FALSE,78,76,0,0,0,0,78,0,FALSE,'','f04be108-eb7e-470f-9fea-cccc2ffef804',1,0,FALSE,0,1,'4dbc7800-d343-4d6e-ab27-a7706b0cd126',FALSE,0),</v>
      </c>
    </row>
    <row r="9" spans="1:39" x14ac:dyDescent="0.25">
      <c r="A9" t="s">
        <v>249</v>
      </c>
      <c r="B9" t="s">
        <v>213</v>
      </c>
      <c r="C9" t="s">
        <v>0</v>
      </c>
      <c r="D9" t="s">
        <v>213</v>
      </c>
      <c r="E9" t="s">
        <v>0</v>
      </c>
      <c r="F9" t="b">
        <v>1</v>
      </c>
      <c r="G9" s="34" t="s">
        <v>322</v>
      </c>
      <c r="H9" s="33" t="s">
        <v>329</v>
      </c>
      <c r="I9">
        <v>0</v>
      </c>
      <c r="J9" t="b">
        <v>0</v>
      </c>
      <c r="K9" s="13" t="s">
        <v>215</v>
      </c>
      <c r="M9" t="s">
        <v>217</v>
      </c>
      <c r="N9" t="s">
        <v>218</v>
      </c>
      <c r="O9" t="b">
        <v>0</v>
      </c>
      <c r="P9">
        <v>0</v>
      </c>
      <c r="Q9" t="b">
        <v>0</v>
      </c>
      <c r="R9" s="12">
        <v>78</v>
      </c>
      <c r="S9" s="12">
        <v>76</v>
      </c>
      <c r="T9">
        <v>0</v>
      </c>
      <c r="U9">
        <v>0</v>
      </c>
      <c r="V9">
        <v>0</v>
      </c>
      <c r="W9">
        <v>0</v>
      </c>
      <c r="X9" s="12">
        <v>78</v>
      </c>
      <c r="Y9">
        <v>0</v>
      </c>
      <c r="Z9" t="b">
        <v>0</v>
      </c>
      <c r="AB9" s="14" t="s">
        <v>349</v>
      </c>
      <c r="AC9">
        <v>1</v>
      </c>
      <c r="AD9">
        <v>0</v>
      </c>
      <c r="AE9" t="b">
        <v>0</v>
      </c>
      <c r="AF9">
        <v>0</v>
      </c>
      <c r="AG9">
        <v>1</v>
      </c>
      <c r="AH9" s="15" t="s">
        <v>38</v>
      </c>
      <c r="AI9" t="b">
        <v>0</v>
      </c>
      <c r="AJ9">
        <v>0</v>
      </c>
      <c r="AL9" t="str">
        <f t="shared" si="0"/>
        <v>('553c2dac-9912-41c1-aa94-fa05769b25f1','2025-05-31 08:27:43.267332+00','866dabc4-6501-44d2-a0e5-65da9c45a46e','2025-05-31 08:27:43.267332+00','866dabc4-6501-44d2-a0e5-65da9c45a46e',TRUE,'001','2024-01-25',0,FALSE,'Unit1','','2022-04-01 08:27:00+00','2022-04-02 08:27:00+00',FALSE,0,FALSE,78,76,0,0,0,0,78,0,FALSE,'','f04be108-eb7e-470f-9fea-cccc2ffef804',1,0,FALSE,0,1,'4dbc7800-d343-4d6e-ab27-a7706b0cd126',FALSE,0),</v>
      </c>
    </row>
    <row r="10" spans="1:39" x14ac:dyDescent="0.25">
      <c r="A10" t="s">
        <v>250</v>
      </c>
      <c r="B10" t="s">
        <v>213</v>
      </c>
      <c r="C10" t="s">
        <v>0</v>
      </c>
      <c r="D10" t="s">
        <v>213</v>
      </c>
      <c r="E10" t="s">
        <v>0</v>
      </c>
      <c r="F10" t="b">
        <v>1</v>
      </c>
      <c r="G10" s="34" t="s">
        <v>322</v>
      </c>
      <c r="H10" s="33" t="s">
        <v>330</v>
      </c>
      <c r="I10">
        <v>0</v>
      </c>
      <c r="J10" t="b">
        <v>0</v>
      </c>
      <c r="K10" s="13" t="s">
        <v>215</v>
      </c>
      <c r="M10" t="s">
        <v>217</v>
      </c>
      <c r="N10" t="s">
        <v>218</v>
      </c>
      <c r="O10" t="b">
        <v>0</v>
      </c>
      <c r="P10">
        <v>0</v>
      </c>
      <c r="Q10" t="b">
        <v>0</v>
      </c>
      <c r="R10" s="12">
        <v>78</v>
      </c>
      <c r="S10" s="12">
        <v>76</v>
      </c>
      <c r="T10">
        <v>0</v>
      </c>
      <c r="U10">
        <v>0</v>
      </c>
      <c r="V10">
        <v>0</v>
      </c>
      <c r="W10">
        <v>0</v>
      </c>
      <c r="X10" s="12">
        <v>78</v>
      </c>
      <c r="Y10">
        <v>0</v>
      </c>
      <c r="Z10" t="b">
        <v>0</v>
      </c>
      <c r="AB10" s="14" t="s">
        <v>349</v>
      </c>
      <c r="AC10">
        <v>1</v>
      </c>
      <c r="AD10">
        <v>0</v>
      </c>
      <c r="AE10" t="b">
        <v>0</v>
      </c>
      <c r="AF10">
        <v>0</v>
      </c>
      <c r="AG10">
        <v>1</v>
      </c>
      <c r="AH10" s="15" t="s">
        <v>38</v>
      </c>
      <c r="AI10" t="b">
        <v>0</v>
      </c>
      <c r="AJ10">
        <v>0</v>
      </c>
      <c r="AL10" t="str">
        <f t="shared" si="0"/>
        <v>('5d8dda49-66e6-4088-a6ae-bc4cdc892f65','2025-05-31 08:27:43.267332+00','866dabc4-6501-44d2-a0e5-65da9c45a46e','2025-05-31 08:27:43.267332+00','866dabc4-6501-44d2-a0e5-65da9c45a46e',TRUE,'001','2024-01-29',0,FALSE,'Unit1','','2022-04-01 08:27:00+00','2022-04-02 08:27:00+00',FALSE,0,FALSE,78,76,0,0,0,0,78,0,FALSE,'','f04be108-eb7e-470f-9fea-cccc2ffef804',1,0,FALSE,0,1,'4dbc7800-d343-4d6e-ab27-a7706b0cd126',FALSE,0),</v>
      </c>
    </row>
    <row r="11" spans="1:39" x14ac:dyDescent="0.25">
      <c r="A11" t="s">
        <v>251</v>
      </c>
      <c r="B11" t="s">
        <v>213</v>
      </c>
      <c r="C11" t="s">
        <v>0</v>
      </c>
      <c r="D11" t="s">
        <v>213</v>
      </c>
      <c r="E11" t="s">
        <v>0</v>
      </c>
      <c r="F11" t="b">
        <v>1</v>
      </c>
      <c r="G11" s="34" t="s">
        <v>322</v>
      </c>
      <c r="H11" s="33" t="s">
        <v>331</v>
      </c>
      <c r="I11">
        <v>0</v>
      </c>
      <c r="J11" t="b">
        <v>0</v>
      </c>
      <c r="K11" s="13" t="s">
        <v>215</v>
      </c>
      <c r="M11" t="s">
        <v>217</v>
      </c>
      <c r="N11" t="s">
        <v>218</v>
      </c>
      <c r="O11" t="b">
        <v>0</v>
      </c>
      <c r="P11">
        <v>0</v>
      </c>
      <c r="Q11" t="b">
        <v>0</v>
      </c>
      <c r="R11" s="12">
        <v>78</v>
      </c>
      <c r="S11" s="12">
        <v>76</v>
      </c>
      <c r="T11">
        <v>0</v>
      </c>
      <c r="U11">
        <v>0</v>
      </c>
      <c r="V11">
        <v>0</v>
      </c>
      <c r="W11">
        <v>0</v>
      </c>
      <c r="X11" s="12">
        <v>78</v>
      </c>
      <c r="Y11">
        <v>0</v>
      </c>
      <c r="Z11" t="b">
        <v>0</v>
      </c>
      <c r="AB11" s="14" t="s">
        <v>349</v>
      </c>
      <c r="AC11">
        <v>1</v>
      </c>
      <c r="AD11">
        <v>0</v>
      </c>
      <c r="AE11" t="b">
        <v>0</v>
      </c>
      <c r="AF11">
        <v>0</v>
      </c>
      <c r="AG11">
        <v>1</v>
      </c>
      <c r="AH11" s="15" t="s">
        <v>38</v>
      </c>
      <c r="AI11" t="b">
        <v>0</v>
      </c>
      <c r="AJ11">
        <v>0</v>
      </c>
      <c r="AL11" t="str">
        <f t="shared" si="0"/>
        <v>('74fedda5-607f-4da8-a0dc-f5e1ed7eb7c5','2025-05-31 08:27:43.267332+00','866dabc4-6501-44d2-a0e5-65da9c45a46e','2025-05-31 08:27:43.267332+00','866dabc4-6501-44d2-a0e5-65da9c45a46e',TRUE,'001','2024-02-01',0,FALSE,'Unit1','','2022-04-01 08:27:00+00','2022-04-02 08:27:00+00',FALSE,0,FALSE,78,76,0,0,0,0,78,0,FALSE,'','f04be108-eb7e-470f-9fea-cccc2ffef804',1,0,FALSE,0,1,'4dbc7800-d343-4d6e-ab27-a7706b0cd126',FALSE,0),</v>
      </c>
    </row>
    <row r="12" spans="1:39" x14ac:dyDescent="0.25">
      <c r="A12" t="s">
        <v>252</v>
      </c>
      <c r="B12" t="s">
        <v>213</v>
      </c>
      <c r="C12" t="s">
        <v>0</v>
      </c>
      <c r="D12" t="s">
        <v>213</v>
      </c>
      <c r="E12" t="s">
        <v>0</v>
      </c>
      <c r="F12" t="b">
        <v>1</v>
      </c>
      <c r="G12" s="34" t="s">
        <v>322</v>
      </c>
      <c r="H12" s="33" t="s">
        <v>332</v>
      </c>
      <c r="I12">
        <v>0</v>
      </c>
      <c r="J12" t="b">
        <v>0</v>
      </c>
      <c r="K12" s="13" t="s">
        <v>215</v>
      </c>
      <c r="M12" t="s">
        <v>217</v>
      </c>
      <c r="N12" t="s">
        <v>218</v>
      </c>
      <c r="O12" t="b">
        <v>0</v>
      </c>
      <c r="P12">
        <v>0</v>
      </c>
      <c r="Q12" t="b">
        <v>0</v>
      </c>
      <c r="R12" s="12">
        <v>78</v>
      </c>
      <c r="S12" s="12">
        <v>76</v>
      </c>
      <c r="T12">
        <v>0</v>
      </c>
      <c r="U12">
        <v>0</v>
      </c>
      <c r="V12">
        <v>0</v>
      </c>
      <c r="W12">
        <v>0</v>
      </c>
      <c r="X12" s="12">
        <v>78</v>
      </c>
      <c r="Y12">
        <v>0</v>
      </c>
      <c r="Z12" t="b">
        <v>0</v>
      </c>
      <c r="AB12" s="14" t="s">
        <v>349</v>
      </c>
      <c r="AC12">
        <v>1</v>
      </c>
      <c r="AD12">
        <v>0</v>
      </c>
      <c r="AE12" t="b">
        <v>0</v>
      </c>
      <c r="AF12">
        <v>0</v>
      </c>
      <c r="AG12">
        <v>1</v>
      </c>
      <c r="AH12" s="15" t="s">
        <v>38</v>
      </c>
      <c r="AI12" t="b">
        <v>0</v>
      </c>
      <c r="AJ12">
        <v>0</v>
      </c>
      <c r="AL12" t="str">
        <f t="shared" si="0"/>
        <v>('d7e81c5c-4c62-4bc7-af22-450d947b403e','2025-05-31 08:27:43.267332+00','866dabc4-6501-44d2-a0e5-65da9c45a46e','2025-05-31 08:27:43.267332+00','866dabc4-6501-44d2-a0e5-65da9c45a46e',TRUE,'001','2024-02-02',0,FALSE,'Unit1','','2022-04-01 08:27:00+00','2022-04-02 08:27:00+00',FALSE,0,FALSE,78,76,0,0,0,0,78,0,FALSE,'','f04be108-eb7e-470f-9fea-cccc2ffef804',1,0,FALSE,0,1,'4dbc7800-d343-4d6e-ab27-a7706b0cd126',FALSE,0),</v>
      </c>
    </row>
    <row r="13" spans="1:39" x14ac:dyDescent="0.25">
      <c r="A13" t="s">
        <v>253</v>
      </c>
      <c r="B13" t="s">
        <v>213</v>
      </c>
      <c r="C13" t="s">
        <v>0</v>
      </c>
      <c r="D13" t="s">
        <v>213</v>
      </c>
      <c r="E13" t="s">
        <v>0</v>
      </c>
      <c r="F13" t="b">
        <v>1</v>
      </c>
      <c r="G13" s="34" t="s">
        <v>322</v>
      </c>
      <c r="H13" s="33" t="s">
        <v>333</v>
      </c>
      <c r="I13">
        <v>0</v>
      </c>
      <c r="J13" t="b">
        <v>0</v>
      </c>
      <c r="K13" s="13" t="s">
        <v>215</v>
      </c>
      <c r="M13" t="s">
        <v>217</v>
      </c>
      <c r="N13" t="s">
        <v>218</v>
      </c>
      <c r="O13" t="b">
        <v>0</v>
      </c>
      <c r="P13">
        <v>0</v>
      </c>
      <c r="Q13" t="b">
        <v>0</v>
      </c>
      <c r="R13" s="12">
        <v>78</v>
      </c>
      <c r="S13" s="12">
        <v>76</v>
      </c>
      <c r="T13">
        <v>0</v>
      </c>
      <c r="U13">
        <v>0</v>
      </c>
      <c r="V13">
        <v>0</v>
      </c>
      <c r="W13">
        <v>0</v>
      </c>
      <c r="X13" s="12">
        <v>78</v>
      </c>
      <c r="Y13">
        <v>0</v>
      </c>
      <c r="Z13" t="b">
        <v>0</v>
      </c>
      <c r="AB13" s="14" t="s">
        <v>349</v>
      </c>
      <c r="AC13">
        <v>1</v>
      </c>
      <c r="AD13">
        <v>0</v>
      </c>
      <c r="AE13" t="b">
        <v>0</v>
      </c>
      <c r="AF13">
        <v>0</v>
      </c>
      <c r="AG13">
        <v>1</v>
      </c>
      <c r="AH13" s="15" t="s">
        <v>38</v>
      </c>
      <c r="AI13" t="b">
        <v>0</v>
      </c>
      <c r="AJ13">
        <v>0</v>
      </c>
      <c r="AL13" t="str">
        <f t="shared" si="0"/>
        <v>('5962e9d1-9b62-4428-9b0c-fbdf71001dfc','2025-05-31 08:27:43.267332+00','866dabc4-6501-44d2-a0e5-65da9c45a46e','2025-05-31 08:27:43.267332+00','866dabc4-6501-44d2-a0e5-65da9c45a46e',TRUE,'001','2024-02-08',0,FALSE,'Unit1','','2022-04-01 08:27:00+00','2022-04-02 08:27:00+00',FALSE,0,FALSE,78,76,0,0,0,0,78,0,FALSE,'','f04be108-eb7e-470f-9fea-cccc2ffef804',1,0,FALSE,0,1,'4dbc7800-d343-4d6e-ab27-a7706b0cd126',FALSE,0),</v>
      </c>
    </row>
    <row r="14" spans="1:39" x14ac:dyDescent="0.25">
      <c r="A14" t="s">
        <v>254</v>
      </c>
      <c r="B14" t="s">
        <v>213</v>
      </c>
      <c r="C14" t="s">
        <v>0</v>
      </c>
      <c r="D14" t="s">
        <v>213</v>
      </c>
      <c r="E14" t="s">
        <v>0</v>
      </c>
      <c r="F14" t="b">
        <v>1</v>
      </c>
      <c r="G14" s="34" t="s">
        <v>322</v>
      </c>
      <c r="H14" s="33" t="s">
        <v>334</v>
      </c>
      <c r="I14">
        <v>0</v>
      </c>
      <c r="J14" t="b">
        <v>0</v>
      </c>
      <c r="K14" s="13" t="s">
        <v>215</v>
      </c>
      <c r="M14" t="s">
        <v>217</v>
      </c>
      <c r="N14" t="s">
        <v>218</v>
      </c>
      <c r="O14" t="b">
        <v>0</v>
      </c>
      <c r="P14">
        <v>0</v>
      </c>
      <c r="Q14" t="b">
        <v>0</v>
      </c>
      <c r="R14" s="12">
        <v>78</v>
      </c>
      <c r="S14" s="12">
        <v>76</v>
      </c>
      <c r="T14">
        <v>0</v>
      </c>
      <c r="U14">
        <v>0</v>
      </c>
      <c r="V14">
        <v>0</v>
      </c>
      <c r="W14">
        <v>0</v>
      </c>
      <c r="X14" s="12">
        <v>78</v>
      </c>
      <c r="Y14">
        <v>0</v>
      </c>
      <c r="Z14" t="b">
        <v>0</v>
      </c>
      <c r="AB14" s="14" t="s">
        <v>349</v>
      </c>
      <c r="AC14">
        <v>1</v>
      </c>
      <c r="AD14">
        <v>0</v>
      </c>
      <c r="AE14" t="b">
        <v>0</v>
      </c>
      <c r="AF14">
        <v>0</v>
      </c>
      <c r="AG14">
        <v>1</v>
      </c>
      <c r="AH14" s="15" t="s">
        <v>38</v>
      </c>
      <c r="AI14" t="b">
        <v>0</v>
      </c>
      <c r="AJ14">
        <v>0</v>
      </c>
      <c r="AL14" t="str">
        <f t="shared" si="0"/>
        <v>('7d484e3e-1dac-4a5d-bc0d-4f9aacc69207','2025-05-31 08:27:43.267332+00','866dabc4-6501-44d2-a0e5-65da9c45a46e','2025-05-31 08:27:43.267332+00','866dabc4-6501-44d2-a0e5-65da9c45a46e',TRUE,'001','2024-02-12',0,FALSE,'Unit1','','2022-04-01 08:27:00+00','2022-04-02 08:27:00+00',FALSE,0,FALSE,78,76,0,0,0,0,78,0,FALSE,'','f04be108-eb7e-470f-9fea-cccc2ffef804',1,0,FALSE,0,1,'4dbc7800-d343-4d6e-ab27-a7706b0cd126',FALSE,0),</v>
      </c>
    </row>
    <row r="15" spans="1:39" x14ac:dyDescent="0.25">
      <c r="A15" t="s">
        <v>255</v>
      </c>
      <c r="B15" t="s">
        <v>213</v>
      </c>
      <c r="C15" t="s">
        <v>0</v>
      </c>
      <c r="D15" t="s">
        <v>213</v>
      </c>
      <c r="E15" t="s">
        <v>0</v>
      </c>
      <c r="F15" t="b">
        <v>1</v>
      </c>
      <c r="G15" s="34" t="s">
        <v>322</v>
      </c>
      <c r="H15" s="33" t="s">
        <v>335</v>
      </c>
      <c r="I15">
        <v>0</v>
      </c>
      <c r="J15" t="b">
        <v>0</v>
      </c>
      <c r="K15" s="13" t="s">
        <v>215</v>
      </c>
      <c r="M15" t="s">
        <v>217</v>
      </c>
      <c r="N15" t="s">
        <v>218</v>
      </c>
      <c r="O15" t="b">
        <v>0</v>
      </c>
      <c r="P15">
        <v>0</v>
      </c>
      <c r="Q15" t="b">
        <v>0</v>
      </c>
      <c r="R15" s="12">
        <v>78</v>
      </c>
      <c r="S15" s="12">
        <v>76</v>
      </c>
      <c r="T15">
        <v>0</v>
      </c>
      <c r="U15">
        <v>0</v>
      </c>
      <c r="V15">
        <v>0</v>
      </c>
      <c r="W15">
        <v>0</v>
      </c>
      <c r="X15" s="12">
        <v>78</v>
      </c>
      <c r="Y15">
        <v>0</v>
      </c>
      <c r="Z15" t="b">
        <v>0</v>
      </c>
      <c r="AB15" s="14" t="s">
        <v>349</v>
      </c>
      <c r="AC15">
        <v>1</v>
      </c>
      <c r="AD15">
        <v>0</v>
      </c>
      <c r="AE15" t="b">
        <v>0</v>
      </c>
      <c r="AF15">
        <v>0</v>
      </c>
      <c r="AG15">
        <v>1</v>
      </c>
      <c r="AH15" s="15" t="s">
        <v>38</v>
      </c>
      <c r="AI15" t="b">
        <v>0</v>
      </c>
      <c r="AJ15">
        <v>0</v>
      </c>
      <c r="AL15" t="str">
        <f t="shared" si="0"/>
        <v>('f27c813c-1cd2-4049-9359-4ecdba1db280','2025-05-31 08:27:43.267332+00','866dabc4-6501-44d2-a0e5-65da9c45a46e','2025-05-31 08:27:43.267332+00','866dabc4-6501-44d2-a0e5-65da9c45a46e',TRUE,'001','2024-02-15',0,FALSE,'Unit1','','2022-04-01 08:27:00+00','2022-04-02 08:27:00+00',FALSE,0,FALSE,78,76,0,0,0,0,78,0,FALSE,'','f04be108-eb7e-470f-9fea-cccc2ffef804',1,0,FALSE,0,1,'4dbc7800-d343-4d6e-ab27-a7706b0cd126',FALSE,0),</v>
      </c>
    </row>
    <row r="16" spans="1:39" x14ac:dyDescent="0.25">
      <c r="A16" t="s">
        <v>256</v>
      </c>
      <c r="B16" t="s">
        <v>213</v>
      </c>
      <c r="C16" t="s">
        <v>0</v>
      </c>
      <c r="D16" t="s">
        <v>213</v>
      </c>
      <c r="E16" t="s">
        <v>0</v>
      </c>
      <c r="F16" t="b">
        <v>1</v>
      </c>
      <c r="G16" s="34" t="s">
        <v>322</v>
      </c>
      <c r="H16" s="33" t="s">
        <v>336</v>
      </c>
      <c r="I16">
        <v>0</v>
      </c>
      <c r="J16" t="b">
        <v>0</v>
      </c>
      <c r="K16" s="13" t="s">
        <v>215</v>
      </c>
      <c r="M16" t="s">
        <v>217</v>
      </c>
      <c r="N16" t="s">
        <v>218</v>
      </c>
      <c r="O16" t="b">
        <v>0</v>
      </c>
      <c r="P16">
        <v>0</v>
      </c>
      <c r="Q16" t="b">
        <v>0</v>
      </c>
      <c r="R16" s="12">
        <v>78</v>
      </c>
      <c r="S16" s="12">
        <v>76</v>
      </c>
      <c r="T16">
        <v>0</v>
      </c>
      <c r="U16">
        <v>0</v>
      </c>
      <c r="V16">
        <v>0</v>
      </c>
      <c r="W16">
        <v>0</v>
      </c>
      <c r="X16" s="12">
        <v>78</v>
      </c>
      <c r="Y16">
        <v>0</v>
      </c>
      <c r="Z16" t="b">
        <v>0</v>
      </c>
      <c r="AB16" s="14" t="s">
        <v>349</v>
      </c>
      <c r="AC16">
        <v>1</v>
      </c>
      <c r="AD16">
        <v>0</v>
      </c>
      <c r="AE16" t="b">
        <v>0</v>
      </c>
      <c r="AF16">
        <v>0</v>
      </c>
      <c r="AG16">
        <v>1</v>
      </c>
      <c r="AH16" s="15" t="s">
        <v>38</v>
      </c>
      <c r="AI16" t="b">
        <v>0</v>
      </c>
      <c r="AJ16">
        <v>0</v>
      </c>
      <c r="AL16" t="str">
        <f t="shared" si="0"/>
        <v>('5a176719-c3ad-43e9-b607-0d1ca5cbcd80','2025-05-31 08:27:43.267332+00','866dabc4-6501-44d2-a0e5-65da9c45a46e','2025-05-31 08:27:43.267332+00','866dabc4-6501-44d2-a0e5-65da9c45a46e',TRUE,'001','2024-02-19',0,FALSE,'Unit1','','2022-04-01 08:27:00+00','2022-04-02 08:27:00+00',FALSE,0,FALSE,78,76,0,0,0,0,78,0,FALSE,'','f04be108-eb7e-470f-9fea-cccc2ffef804',1,0,FALSE,0,1,'4dbc7800-d343-4d6e-ab27-a7706b0cd126',FALSE,0),</v>
      </c>
    </row>
    <row r="17" spans="1:38" x14ac:dyDescent="0.25">
      <c r="A17" t="s">
        <v>257</v>
      </c>
      <c r="B17" t="s">
        <v>213</v>
      </c>
      <c r="C17" t="s">
        <v>0</v>
      </c>
      <c r="D17" t="s">
        <v>213</v>
      </c>
      <c r="E17" t="s">
        <v>0</v>
      </c>
      <c r="F17" t="b">
        <v>1</v>
      </c>
      <c r="G17" s="34" t="s">
        <v>322</v>
      </c>
      <c r="H17" s="33" t="s">
        <v>337</v>
      </c>
      <c r="I17">
        <v>0</v>
      </c>
      <c r="J17" t="b">
        <v>0</v>
      </c>
      <c r="K17" s="13" t="s">
        <v>215</v>
      </c>
      <c r="M17" t="s">
        <v>217</v>
      </c>
      <c r="N17" t="s">
        <v>218</v>
      </c>
      <c r="O17" t="b">
        <v>0</v>
      </c>
      <c r="P17">
        <v>0</v>
      </c>
      <c r="Q17" t="b">
        <v>0</v>
      </c>
      <c r="R17" s="12">
        <v>78</v>
      </c>
      <c r="S17" s="12">
        <v>76</v>
      </c>
      <c r="T17">
        <v>0</v>
      </c>
      <c r="U17">
        <v>0</v>
      </c>
      <c r="V17">
        <v>0</v>
      </c>
      <c r="W17">
        <v>0</v>
      </c>
      <c r="X17" s="12">
        <v>78</v>
      </c>
      <c r="Y17">
        <v>0</v>
      </c>
      <c r="Z17" t="b">
        <v>0</v>
      </c>
      <c r="AB17" s="14" t="s">
        <v>349</v>
      </c>
      <c r="AC17">
        <v>1</v>
      </c>
      <c r="AD17">
        <v>0</v>
      </c>
      <c r="AE17" t="b">
        <v>0</v>
      </c>
      <c r="AF17">
        <v>0</v>
      </c>
      <c r="AG17">
        <v>1</v>
      </c>
      <c r="AH17" s="15" t="s">
        <v>38</v>
      </c>
      <c r="AI17" t="b">
        <v>0</v>
      </c>
      <c r="AJ17">
        <v>0</v>
      </c>
      <c r="AL17" t="str">
        <f t="shared" si="0"/>
        <v>('fa09160c-fe22-4cb6-a6c2-0b40d38ef97d','2025-05-31 08:27:43.267332+00','866dabc4-6501-44d2-a0e5-65da9c45a46e','2025-05-31 08:27:43.267332+00','866dabc4-6501-44d2-a0e5-65da9c45a46e',TRUE,'001','2024-02-22',0,FALSE,'Unit1','','2022-04-01 08:27:00+00','2022-04-02 08:27:00+00',FALSE,0,FALSE,78,76,0,0,0,0,78,0,FALSE,'','f04be108-eb7e-470f-9fea-cccc2ffef804',1,0,FALSE,0,1,'4dbc7800-d343-4d6e-ab27-a7706b0cd126',FALSE,0),</v>
      </c>
    </row>
    <row r="18" spans="1:38" x14ac:dyDescent="0.25">
      <c r="A18" t="s">
        <v>258</v>
      </c>
      <c r="B18" t="s">
        <v>213</v>
      </c>
      <c r="C18" t="s">
        <v>0</v>
      </c>
      <c r="D18" t="s">
        <v>213</v>
      </c>
      <c r="E18" t="s">
        <v>0</v>
      </c>
      <c r="F18" t="b">
        <v>1</v>
      </c>
      <c r="G18" s="34" t="s">
        <v>322</v>
      </c>
      <c r="H18" s="33" t="s">
        <v>338</v>
      </c>
      <c r="I18">
        <v>0</v>
      </c>
      <c r="J18" t="b">
        <v>0</v>
      </c>
      <c r="K18" s="13" t="s">
        <v>215</v>
      </c>
      <c r="M18" t="s">
        <v>217</v>
      </c>
      <c r="N18" t="s">
        <v>218</v>
      </c>
      <c r="O18" t="b">
        <v>0</v>
      </c>
      <c r="P18">
        <v>0</v>
      </c>
      <c r="Q18" t="b">
        <v>0</v>
      </c>
      <c r="R18" s="12">
        <v>78</v>
      </c>
      <c r="S18" s="12">
        <v>76</v>
      </c>
      <c r="T18">
        <v>0</v>
      </c>
      <c r="U18">
        <v>0</v>
      </c>
      <c r="V18">
        <v>0</v>
      </c>
      <c r="W18">
        <v>0</v>
      </c>
      <c r="X18" s="12">
        <v>78</v>
      </c>
      <c r="Y18">
        <v>0</v>
      </c>
      <c r="Z18" t="b">
        <v>0</v>
      </c>
      <c r="AB18" s="14" t="s">
        <v>349</v>
      </c>
      <c r="AC18">
        <v>1</v>
      </c>
      <c r="AD18">
        <v>0</v>
      </c>
      <c r="AE18" t="b">
        <v>0</v>
      </c>
      <c r="AF18">
        <v>0</v>
      </c>
      <c r="AG18">
        <v>1</v>
      </c>
      <c r="AH18" s="15" t="s">
        <v>38</v>
      </c>
      <c r="AI18" t="b">
        <v>0</v>
      </c>
      <c r="AJ18">
        <v>0</v>
      </c>
      <c r="AL18" t="str">
        <f t="shared" si="0"/>
        <v>('1d5b0de6-9241-42d6-a969-60d24d970a4b','2025-05-31 08:27:43.267332+00','866dabc4-6501-44d2-a0e5-65da9c45a46e','2025-05-31 08:27:43.267332+00','866dabc4-6501-44d2-a0e5-65da9c45a46e',TRUE,'001','2024-02-26',0,FALSE,'Unit1','','2022-04-01 08:27:00+00','2022-04-02 08:27:00+00',FALSE,0,FALSE,78,76,0,0,0,0,78,0,FALSE,'','f04be108-eb7e-470f-9fea-cccc2ffef804',1,0,FALSE,0,1,'4dbc7800-d343-4d6e-ab27-a7706b0cd126',FALSE,0),</v>
      </c>
    </row>
    <row r="19" spans="1:38" x14ac:dyDescent="0.25">
      <c r="A19" t="s">
        <v>259</v>
      </c>
      <c r="B19" t="s">
        <v>213</v>
      </c>
      <c r="C19" t="s">
        <v>0</v>
      </c>
      <c r="D19" t="s">
        <v>213</v>
      </c>
      <c r="E19" t="s">
        <v>0</v>
      </c>
      <c r="F19" t="b">
        <v>1</v>
      </c>
      <c r="G19" s="34" t="s">
        <v>322</v>
      </c>
      <c r="H19" s="33" t="s">
        <v>339</v>
      </c>
      <c r="I19">
        <v>0</v>
      </c>
      <c r="J19" t="b">
        <v>0</v>
      </c>
      <c r="K19" s="13" t="s">
        <v>215</v>
      </c>
      <c r="M19" t="s">
        <v>217</v>
      </c>
      <c r="N19" t="s">
        <v>218</v>
      </c>
      <c r="O19" t="b">
        <v>0</v>
      </c>
      <c r="P19">
        <v>0</v>
      </c>
      <c r="Q19" t="b">
        <v>0</v>
      </c>
      <c r="R19" s="12">
        <v>78</v>
      </c>
      <c r="S19" s="12">
        <v>76</v>
      </c>
      <c r="T19">
        <v>0</v>
      </c>
      <c r="U19">
        <v>0</v>
      </c>
      <c r="V19">
        <v>0</v>
      </c>
      <c r="W19">
        <v>0</v>
      </c>
      <c r="X19" s="12">
        <v>78</v>
      </c>
      <c r="Y19">
        <v>0</v>
      </c>
      <c r="Z19" t="b">
        <v>0</v>
      </c>
      <c r="AB19" s="14" t="s">
        <v>349</v>
      </c>
      <c r="AC19">
        <v>1</v>
      </c>
      <c r="AD19">
        <v>0</v>
      </c>
      <c r="AE19" t="b">
        <v>0</v>
      </c>
      <c r="AF19">
        <v>0</v>
      </c>
      <c r="AG19">
        <v>1</v>
      </c>
      <c r="AH19" s="15" t="s">
        <v>38</v>
      </c>
      <c r="AI19" t="b">
        <v>0</v>
      </c>
      <c r="AJ19">
        <v>0</v>
      </c>
      <c r="AL19" t="str">
        <f t="shared" si="0"/>
        <v>('5a157a2b-ba09-419c-8603-a0d12676257e','2025-05-31 08:27:43.267332+00','866dabc4-6501-44d2-a0e5-65da9c45a46e','2025-05-31 08:27:43.267332+00','866dabc4-6501-44d2-a0e5-65da9c45a46e',TRUE,'001','2024-02-29',0,FALSE,'Unit1','','2022-04-01 08:27:00+00','2022-04-02 08:27:00+00',FALSE,0,FALSE,78,76,0,0,0,0,78,0,FALSE,'','f04be108-eb7e-470f-9fea-cccc2ffef804',1,0,FALSE,0,1,'4dbc7800-d343-4d6e-ab27-a7706b0cd126',FALSE,0),</v>
      </c>
    </row>
    <row r="20" spans="1:38" x14ac:dyDescent="0.25">
      <c r="A20" t="s">
        <v>260</v>
      </c>
      <c r="B20" t="s">
        <v>213</v>
      </c>
      <c r="C20" t="s">
        <v>0</v>
      </c>
      <c r="D20" t="s">
        <v>213</v>
      </c>
      <c r="E20" t="s">
        <v>0</v>
      </c>
      <c r="F20" t="b">
        <v>1</v>
      </c>
      <c r="G20" s="34" t="s">
        <v>322</v>
      </c>
      <c r="H20" s="33" t="s">
        <v>340</v>
      </c>
      <c r="I20">
        <v>0</v>
      </c>
      <c r="J20" t="b">
        <v>0</v>
      </c>
      <c r="K20" s="13" t="s">
        <v>215</v>
      </c>
      <c r="M20" t="s">
        <v>217</v>
      </c>
      <c r="N20" t="s">
        <v>218</v>
      </c>
      <c r="O20" t="b">
        <v>0</v>
      </c>
      <c r="P20">
        <v>0</v>
      </c>
      <c r="Q20" t="b">
        <v>0</v>
      </c>
      <c r="R20" s="12">
        <v>78</v>
      </c>
      <c r="S20" s="12">
        <v>76</v>
      </c>
      <c r="T20">
        <v>0</v>
      </c>
      <c r="U20">
        <v>0</v>
      </c>
      <c r="V20">
        <v>0</v>
      </c>
      <c r="W20">
        <v>0</v>
      </c>
      <c r="X20" s="12">
        <v>78</v>
      </c>
      <c r="Y20">
        <v>0</v>
      </c>
      <c r="Z20" t="b">
        <v>0</v>
      </c>
      <c r="AB20" s="14" t="s">
        <v>349</v>
      </c>
      <c r="AC20">
        <v>1</v>
      </c>
      <c r="AD20">
        <v>0</v>
      </c>
      <c r="AE20" t="b">
        <v>0</v>
      </c>
      <c r="AF20">
        <v>0</v>
      </c>
      <c r="AG20">
        <v>1</v>
      </c>
      <c r="AH20" s="15" t="s">
        <v>38</v>
      </c>
      <c r="AI20" t="b">
        <v>0</v>
      </c>
      <c r="AJ20">
        <v>0</v>
      </c>
      <c r="AL20" t="str">
        <f t="shared" si="0"/>
        <v>('a869c0e6-aa5a-46a2-b513-e24a33755b3e','2025-05-31 08:27:43.267332+00','866dabc4-6501-44d2-a0e5-65da9c45a46e','2025-05-31 08:27:43.267332+00','866dabc4-6501-44d2-a0e5-65da9c45a46e',TRUE,'001','2024-03-04',0,FALSE,'Unit1','','2022-04-01 08:27:00+00','2022-04-02 08:27:00+00',FALSE,0,FALSE,78,76,0,0,0,0,78,0,FALSE,'','f04be108-eb7e-470f-9fea-cccc2ffef804',1,0,FALSE,0,1,'4dbc7800-d343-4d6e-ab27-a7706b0cd126',FALSE,0),</v>
      </c>
    </row>
    <row r="21" spans="1:38" x14ac:dyDescent="0.25">
      <c r="A21" t="s">
        <v>261</v>
      </c>
      <c r="B21" t="s">
        <v>213</v>
      </c>
      <c r="C21" t="s">
        <v>0</v>
      </c>
      <c r="D21" t="s">
        <v>213</v>
      </c>
      <c r="E21" t="s">
        <v>0</v>
      </c>
      <c r="F21" t="b">
        <v>1</v>
      </c>
      <c r="G21" s="34" t="s">
        <v>322</v>
      </c>
      <c r="H21" s="33" t="s">
        <v>341</v>
      </c>
      <c r="I21">
        <v>0</v>
      </c>
      <c r="J21" t="b">
        <v>0</v>
      </c>
      <c r="K21" s="13" t="s">
        <v>215</v>
      </c>
      <c r="M21" t="s">
        <v>217</v>
      </c>
      <c r="N21" t="s">
        <v>218</v>
      </c>
      <c r="O21" t="b">
        <v>0</v>
      </c>
      <c r="P21">
        <v>0</v>
      </c>
      <c r="Q21" t="b">
        <v>0</v>
      </c>
      <c r="R21" s="12">
        <v>78</v>
      </c>
      <c r="S21" s="12">
        <v>76</v>
      </c>
      <c r="T21">
        <v>0</v>
      </c>
      <c r="U21">
        <v>0</v>
      </c>
      <c r="V21">
        <v>0</v>
      </c>
      <c r="W21">
        <v>0</v>
      </c>
      <c r="X21" s="12">
        <v>78</v>
      </c>
      <c r="Y21">
        <v>0</v>
      </c>
      <c r="Z21" t="b">
        <v>0</v>
      </c>
      <c r="AB21" s="14" t="s">
        <v>349</v>
      </c>
      <c r="AC21">
        <v>1</v>
      </c>
      <c r="AD21">
        <v>0</v>
      </c>
      <c r="AE21" t="b">
        <v>0</v>
      </c>
      <c r="AF21">
        <v>0</v>
      </c>
      <c r="AG21">
        <v>1</v>
      </c>
      <c r="AH21" s="15" t="s">
        <v>38</v>
      </c>
      <c r="AI21" t="b">
        <v>0</v>
      </c>
      <c r="AJ21">
        <v>0</v>
      </c>
      <c r="AL21" t="str">
        <f t="shared" si="0"/>
        <v>('e48d0d86-d846-4975-9968-eef2db339427','2025-05-31 08:27:43.267332+00','866dabc4-6501-44d2-a0e5-65da9c45a46e','2025-05-31 08:27:43.267332+00','866dabc4-6501-44d2-a0e5-65da9c45a46e',TRUE,'001','2024-03-07',0,FALSE,'Unit1','','2022-04-01 08:27:00+00','2022-04-02 08:27:00+00',FALSE,0,FALSE,78,76,0,0,0,0,78,0,FALSE,'','f04be108-eb7e-470f-9fea-cccc2ffef804',1,0,FALSE,0,1,'4dbc7800-d343-4d6e-ab27-a7706b0cd126',FALSE,0),</v>
      </c>
    </row>
    <row r="22" spans="1:38" x14ac:dyDescent="0.25">
      <c r="A22" t="s">
        <v>262</v>
      </c>
      <c r="B22" t="s">
        <v>213</v>
      </c>
      <c r="C22" t="s">
        <v>0</v>
      </c>
      <c r="D22" t="s">
        <v>213</v>
      </c>
      <c r="E22" t="s">
        <v>0</v>
      </c>
      <c r="F22" t="b">
        <v>1</v>
      </c>
      <c r="G22" s="34" t="s">
        <v>322</v>
      </c>
      <c r="H22" s="33" t="s">
        <v>342</v>
      </c>
      <c r="I22">
        <v>0</v>
      </c>
      <c r="J22" t="b">
        <v>0</v>
      </c>
      <c r="K22" s="13" t="s">
        <v>215</v>
      </c>
      <c r="M22" t="s">
        <v>217</v>
      </c>
      <c r="N22" t="s">
        <v>218</v>
      </c>
      <c r="O22" t="b">
        <v>0</v>
      </c>
      <c r="P22">
        <v>0</v>
      </c>
      <c r="Q22" t="b">
        <v>0</v>
      </c>
      <c r="R22" s="12">
        <v>78</v>
      </c>
      <c r="S22" s="12">
        <v>76</v>
      </c>
      <c r="T22">
        <v>0</v>
      </c>
      <c r="U22">
        <v>0</v>
      </c>
      <c r="V22">
        <v>0</v>
      </c>
      <c r="W22">
        <v>0</v>
      </c>
      <c r="X22" s="12">
        <v>78</v>
      </c>
      <c r="Y22">
        <v>0</v>
      </c>
      <c r="Z22" t="b">
        <v>0</v>
      </c>
      <c r="AB22" s="14" t="s">
        <v>349</v>
      </c>
      <c r="AC22">
        <v>1</v>
      </c>
      <c r="AD22">
        <v>0</v>
      </c>
      <c r="AE22" t="b">
        <v>0</v>
      </c>
      <c r="AF22">
        <v>0</v>
      </c>
      <c r="AG22">
        <v>1</v>
      </c>
      <c r="AH22" s="15" t="s">
        <v>38</v>
      </c>
      <c r="AI22" t="b">
        <v>0</v>
      </c>
      <c r="AJ22">
        <v>0</v>
      </c>
      <c r="AL22" t="str">
        <f t="shared" si="0"/>
        <v>('2af12040-d845-4e4a-b678-4661686937ef','2025-05-31 08:27:43.267332+00','866dabc4-6501-44d2-a0e5-65da9c45a46e','2025-05-31 08:27:43.267332+00','866dabc4-6501-44d2-a0e5-65da9c45a46e',TRUE,'001','2024-03-11',0,FALSE,'Unit1','','2022-04-01 08:27:00+00','2022-04-02 08:27:00+00',FALSE,0,FALSE,78,76,0,0,0,0,78,0,FALSE,'','f04be108-eb7e-470f-9fea-cccc2ffef804',1,0,FALSE,0,1,'4dbc7800-d343-4d6e-ab27-a7706b0cd126',FALSE,0),</v>
      </c>
    </row>
    <row r="23" spans="1:38" x14ac:dyDescent="0.25">
      <c r="A23" t="s">
        <v>263</v>
      </c>
      <c r="B23" t="s">
        <v>213</v>
      </c>
      <c r="C23" t="s">
        <v>0</v>
      </c>
      <c r="D23" t="s">
        <v>213</v>
      </c>
      <c r="E23" t="s">
        <v>0</v>
      </c>
      <c r="F23" t="b">
        <v>1</v>
      </c>
      <c r="G23" s="34" t="s">
        <v>322</v>
      </c>
      <c r="H23" s="33" t="s">
        <v>343</v>
      </c>
      <c r="I23">
        <v>0</v>
      </c>
      <c r="J23" t="b">
        <v>0</v>
      </c>
      <c r="K23" s="13" t="s">
        <v>215</v>
      </c>
      <c r="M23" t="s">
        <v>217</v>
      </c>
      <c r="N23" t="s">
        <v>218</v>
      </c>
      <c r="O23" t="b">
        <v>0</v>
      </c>
      <c r="P23">
        <v>0</v>
      </c>
      <c r="Q23" t="b">
        <v>0</v>
      </c>
      <c r="R23" s="12">
        <v>78</v>
      </c>
      <c r="S23" s="12">
        <v>76</v>
      </c>
      <c r="T23">
        <v>0</v>
      </c>
      <c r="U23">
        <v>0</v>
      </c>
      <c r="V23">
        <v>0</v>
      </c>
      <c r="W23">
        <v>0</v>
      </c>
      <c r="X23" s="12">
        <v>78</v>
      </c>
      <c r="Y23">
        <v>0</v>
      </c>
      <c r="Z23" t="b">
        <v>0</v>
      </c>
      <c r="AB23" s="14" t="s">
        <v>349</v>
      </c>
      <c r="AC23">
        <v>1</v>
      </c>
      <c r="AD23">
        <v>0</v>
      </c>
      <c r="AE23" t="b">
        <v>0</v>
      </c>
      <c r="AF23">
        <v>0</v>
      </c>
      <c r="AG23">
        <v>1</v>
      </c>
      <c r="AH23" s="15" t="s">
        <v>38</v>
      </c>
      <c r="AI23" t="b">
        <v>0</v>
      </c>
      <c r="AJ23">
        <v>0</v>
      </c>
      <c r="AL23" t="str">
        <f t="shared" si="0"/>
        <v>('259fac88-a059-43a5-a6e0-0dda3f56c7f7','2025-05-31 08:27:43.267332+00','866dabc4-6501-44d2-a0e5-65da9c45a46e','2025-05-31 08:27:43.267332+00','866dabc4-6501-44d2-a0e5-65da9c45a46e',TRUE,'001','2024-03-14',0,FALSE,'Unit1','','2022-04-01 08:27:00+00','2022-04-02 08:27:00+00',FALSE,0,FALSE,78,76,0,0,0,0,78,0,FALSE,'','f04be108-eb7e-470f-9fea-cccc2ffef804',1,0,FALSE,0,1,'4dbc7800-d343-4d6e-ab27-a7706b0cd126',FALSE,0),</v>
      </c>
    </row>
    <row r="24" spans="1:38" x14ac:dyDescent="0.25">
      <c r="A24" t="s">
        <v>264</v>
      </c>
      <c r="B24" t="s">
        <v>213</v>
      </c>
      <c r="C24" t="s">
        <v>0</v>
      </c>
      <c r="D24" t="s">
        <v>213</v>
      </c>
      <c r="E24" t="s">
        <v>0</v>
      </c>
      <c r="F24" t="b">
        <v>1</v>
      </c>
      <c r="G24" s="34" t="s">
        <v>322</v>
      </c>
      <c r="H24" s="33" t="s">
        <v>344</v>
      </c>
      <c r="I24">
        <v>0</v>
      </c>
      <c r="J24" t="b">
        <v>0</v>
      </c>
      <c r="K24" s="13" t="s">
        <v>215</v>
      </c>
      <c r="M24" t="s">
        <v>217</v>
      </c>
      <c r="N24" t="s">
        <v>218</v>
      </c>
      <c r="O24" t="b">
        <v>0</v>
      </c>
      <c r="P24">
        <v>0</v>
      </c>
      <c r="Q24" t="b">
        <v>0</v>
      </c>
      <c r="R24" s="12">
        <v>78</v>
      </c>
      <c r="S24" s="12">
        <v>76</v>
      </c>
      <c r="T24">
        <v>0</v>
      </c>
      <c r="U24">
        <v>0</v>
      </c>
      <c r="V24">
        <v>0</v>
      </c>
      <c r="W24">
        <v>0</v>
      </c>
      <c r="X24" s="12">
        <v>78</v>
      </c>
      <c r="Y24">
        <v>0</v>
      </c>
      <c r="Z24" t="b">
        <v>0</v>
      </c>
      <c r="AB24" s="14" t="s">
        <v>349</v>
      </c>
      <c r="AC24">
        <v>1</v>
      </c>
      <c r="AD24">
        <v>0</v>
      </c>
      <c r="AE24" t="b">
        <v>0</v>
      </c>
      <c r="AF24">
        <v>0</v>
      </c>
      <c r="AG24">
        <v>1</v>
      </c>
      <c r="AH24" s="15" t="s">
        <v>38</v>
      </c>
      <c r="AI24" t="b">
        <v>0</v>
      </c>
      <c r="AJ24">
        <v>0</v>
      </c>
      <c r="AL24" t="str">
        <f t="shared" si="0"/>
        <v>('4a5dc650-fe8e-4455-9eba-dd5066f75196','2025-05-31 08:27:43.267332+00','866dabc4-6501-44d2-a0e5-65da9c45a46e','2025-05-31 08:27:43.267332+00','866dabc4-6501-44d2-a0e5-65da9c45a46e',TRUE,'001','2024-03-18',0,FALSE,'Unit1','','2022-04-01 08:27:00+00','2022-04-02 08:27:00+00',FALSE,0,FALSE,78,76,0,0,0,0,78,0,FALSE,'','f04be108-eb7e-470f-9fea-cccc2ffef804',1,0,FALSE,0,1,'4dbc7800-d343-4d6e-ab27-a7706b0cd126',FALSE,0),</v>
      </c>
    </row>
    <row r="25" spans="1:38" x14ac:dyDescent="0.25">
      <c r="A25" t="s">
        <v>265</v>
      </c>
      <c r="B25" t="s">
        <v>213</v>
      </c>
      <c r="C25" t="s">
        <v>0</v>
      </c>
      <c r="D25" t="s">
        <v>213</v>
      </c>
      <c r="E25" t="s">
        <v>0</v>
      </c>
      <c r="F25" t="b">
        <v>1</v>
      </c>
      <c r="G25" s="34" t="s">
        <v>322</v>
      </c>
      <c r="H25" s="33" t="s">
        <v>345</v>
      </c>
      <c r="I25">
        <v>0</v>
      </c>
      <c r="J25" t="b">
        <v>0</v>
      </c>
      <c r="K25" s="13" t="s">
        <v>215</v>
      </c>
      <c r="M25" t="s">
        <v>217</v>
      </c>
      <c r="N25" t="s">
        <v>218</v>
      </c>
      <c r="O25" t="b">
        <v>0</v>
      </c>
      <c r="P25">
        <v>0</v>
      </c>
      <c r="Q25" t="b">
        <v>0</v>
      </c>
      <c r="R25" s="12">
        <v>78</v>
      </c>
      <c r="S25" s="12">
        <v>76</v>
      </c>
      <c r="T25">
        <v>0</v>
      </c>
      <c r="U25">
        <v>0</v>
      </c>
      <c r="V25">
        <v>0</v>
      </c>
      <c r="W25">
        <v>0</v>
      </c>
      <c r="X25" s="12">
        <v>78</v>
      </c>
      <c r="Y25">
        <v>0</v>
      </c>
      <c r="Z25" t="b">
        <v>0</v>
      </c>
      <c r="AB25" s="14" t="s">
        <v>349</v>
      </c>
      <c r="AC25">
        <v>1</v>
      </c>
      <c r="AD25">
        <v>0</v>
      </c>
      <c r="AE25" t="b">
        <v>0</v>
      </c>
      <c r="AF25">
        <v>0</v>
      </c>
      <c r="AG25">
        <v>1</v>
      </c>
      <c r="AH25" s="15" t="s">
        <v>38</v>
      </c>
      <c r="AI25" t="b">
        <v>0</v>
      </c>
      <c r="AJ25">
        <v>0</v>
      </c>
      <c r="AL25" t="str">
        <f t="shared" si="0"/>
        <v>('ba6b7cc8-500e-48c8-8fa8-6693042a5ee8','2025-05-31 08:27:43.267332+00','866dabc4-6501-44d2-a0e5-65da9c45a46e','2025-05-31 08:27:43.267332+00','866dabc4-6501-44d2-a0e5-65da9c45a46e',TRUE,'001','2024-03-21',0,FALSE,'Unit1','','2022-04-01 08:27:00+00','2022-04-02 08:27:00+00',FALSE,0,FALSE,78,76,0,0,0,0,78,0,FALSE,'','f04be108-eb7e-470f-9fea-cccc2ffef804',1,0,FALSE,0,1,'4dbc7800-d343-4d6e-ab27-a7706b0cd126',FALSE,0),</v>
      </c>
    </row>
    <row r="26" spans="1:38" x14ac:dyDescent="0.25">
      <c r="A26" t="s">
        <v>266</v>
      </c>
      <c r="B26" t="s">
        <v>213</v>
      </c>
      <c r="C26" t="s">
        <v>0</v>
      </c>
      <c r="D26" t="s">
        <v>213</v>
      </c>
      <c r="E26" t="s">
        <v>0</v>
      </c>
      <c r="F26" t="b">
        <v>1</v>
      </c>
      <c r="G26" s="34" t="s">
        <v>322</v>
      </c>
      <c r="H26" s="33" t="s">
        <v>346</v>
      </c>
      <c r="I26">
        <v>0</v>
      </c>
      <c r="J26" t="b">
        <v>0</v>
      </c>
      <c r="K26" s="13" t="s">
        <v>215</v>
      </c>
      <c r="M26" t="s">
        <v>217</v>
      </c>
      <c r="N26" t="s">
        <v>218</v>
      </c>
      <c r="O26" t="b">
        <v>0</v>
      </c>
      <c r="P26">
        <v>0</v>
      </c>
      <c r="Q26" t="b">
        <v>0</v>
      </c>
      <c r="R26" s="12">
        <v>78</v>
      </c>
      <c r="S26" s="12">
        <v>76</v>
      </c>
      <c r="T26">
        <v>0</v>
      </c>
      <c r="U26">
        <v>0</v>
      </c>
      <c r="V26">
        <v>0</v>
      </c>
      <c r="W26">
        <v>0</v>
      </c>
      <c r="X26" s="12">
        <v>78</v>
      </c>
      <c r="Y26">
        <v>0</v>
      </c>
      <c r="Z26" t="b">
        <v>0</v>
      </c>
      <c r="AB26" s="14" t="s">
        <v>349</v>
      </c>
      <c r="AC26">
        <v>1</v>
      </c>
      <c r="AD26">
        <v>0</v>
      </c>
      <c r="AE26" t="b">
        <v>0</v>
      </c>
      <c r="AF26">
        <v>0</v>
      </c>
      <c r="AG26">
        <v>1</v>
      </c>
      <c r="AH26" s="15" t="s">
        <v>38</v>
      </c>
      <c r="AI26" t="b">
        <v>0</v>
      </c>
      <c r="AJ26">
        <v>0</v>
      </c>
      <c r="AL26" t="str">
        <f t="shared" si="0"/>
        <v>('8cb158ab-5798-4772-93aa-ebd7008e7c83','2025-05-31 08:27:43.267332+00','866dabc4-6501-44d2-a0e5-65da9c45a46e','2025-05-31 08:27:43.267332+00','866dabc4-6501-44d2-a0e5-65da9c45a46e',TRUE,'001','2024-03-25',0,FALSE,'Unit1','','2022-04-01 08:27:00+00','2022-04-02 08:27:00+00',FALSE,0,FALSE,78,76,0,0,0,0,78,0,FALSE,'','f04be108-eb7e-470f-9fea-cccc2ffef804',1,0,FALSE,0,1,'4dbc7800-d343-4d6e-ab27-a7706b0cd126',FALSE,0),</v>
      </c>
    </row>
    <row r="27" spans="1:38" x14ac:dyDescent="0.25">
      <c r="A27" t="s">
        <v>267</v>
      </c>
      <c r="B27" t="s">
        <v>213</v>
      </c>
      <c r="C27" t="s">
        <v>0</v>
      </c>
      <c r="D27" t="s">
        <v>213</v>
      </c>
      <c r="E27" t="s">
        <v>0</v>
      </c>
      <c r="F27" t="b">
        <v>1</v>
      </c>
      <c r="G27" s="34" t="s">
        <v>322</v>
      </c>
      <c r="H27" s="33" t="s">
        <v>347</v>
      </c>
      <c r="I27">
        <v>0</v>
      </c>
      <c r="J27" t="b">
        <v>0</v>
      </c>
      <c r="K27" s="13" t="s">
        <v>215</v>
      </c>
      <c r="M27" t="s">
        <v>217</v>
      </c>
      <c r="N27" t="s">
        <v>218</v>
      </c>
      <c r="O27" t="b">
        <v>0</v>
      </c>
      <c r="P27">
        <v>0</v>
      </c>
      <c r="Q27" t="b">
        <v>0</v>
      </c>
      <c r="R27" s="12">
        <v>78</v>
      </c>
      <c r="S27" s="12">
        <v>76</v>
      </c>
      <c r="T27">
        <v>0</v>
      </c>
      <c r="U27">
        <v>0</v>
      </c>
      <c r="V27">
        <v>0</v>
      </c>
      <c r="W27">
        <v>0</v>
      </c>
      <c r="X27" s="12">
        <v>78</v>
      </c>
      <c r="Y27">
        <v>0</v>
      </c>
      <c r="Z27" t="b">
        <v>0</v>
      </c>
      <c r="AB27" s="14" t="s">
        <v>349</v>
      </c>
      <c r="AC27">
        <v>1</v>
      </c>
      <c r="AD27">
        <v>0</v>
      </c>
      <c r="AE27" t="b">
        <v>0</v>
      </c>
      <c r="AF27">
        <v>0</v>
      </c>
      <c r="AG27">
        <v>1</v>
      </c>
      <c r="AH27" s="15" t="s">
        <v>38</v>
      </c>
      <c r="AI27" t="b">
        <v>0</v>
      </c>
      <c r="AJ27">
        <v>0</v>
      </c>
      <c r="AL27" t="str">
        <f t="shared" si="0"/>
        <v>('82f78e47-6fd1-4846-b30f-2f6c39ce7f46','2025-05-31 08:27:43.267332+00','866dabc4-6501-44d2-a0e5-65da9c45a46e','2025-05-31 08:27:43.267332+00','866dabc4-6501-44d2-a0e5-65da9c45a46e',TRUE,'001','2024-03-28',0,FALSE,'Unit1','','2022-04-01 08:27:00+00','2022-04-02 08:27:00+00',FALSE,0,FALSE,78,76,0,0,0,0,78,0,FALSE,'','f04be108-eb7e-470f-9fea-cccc2ffef804',1,0,FALSE,0,1,'4dbc7800-d343-4d6e-ab27-a7706b0cd126',FALSE,0),</v>
      </c>
    </row>
    <row r="28" spans="1:38" x14ac:dyDescent="0.25">
      <c r="A28" t="s">
        <v>268</v>
      </c>
      <c r="B28" t="s">
        <v>213</v>
      </c>
      <c r="C28" t="s">
        <v>0</v>
      </c>
      <c r="D28" t="s">
        <v>213</v>
      </c>
      <c r="E28" t="s">
        <v>0</v>
      </c>
      <c r="F28" t="b">
        <v>1</v>
      </c>
      <c r="G28" s="34" t="s">
        <v>322</v>
      </c>
      <c r="H28" s="33" t="s">
        <v>348</v>
      </c>
      <c r="I28">
        <v>0</v>
      </c>
      <c r="J28" t="b">
        <v>0</v>
      </c>
      <c r="K28" s="13" t="s">
        <v>215</v>
      </c>
      <c r="M28" t="s">
        <v>217</v>
      </c>
      <c r="N28" t="s">
        <v>218</v>
      </c>
      <c r="O28" t="b">
        <v>0</v>
      </c>
      <c r="P28">
        <v>0</v>
      </c>
      <c r="Q28" t="b">
        <v>0</v>
      </c>
      <c r="R28" s="12">
        <v>78</v>
      </c>
      <c r="S28" s="12">
        <v>76</v>
      </c>
      <c r="T28">
        <v>0</v>
      </c>
      <c r="U28">
        <v>0</v>
      </c>
      <c r="V28">
        <v>0</v>
      </c>
      <c r="W28">
        <v>0</v>
      </c>
      <c r="X28" s="12">
        <v>78</v>
      </c>
      <c r="Y28">
        <v>0</v>
      </c>
      <c r="Z28" t="b">
        <v>0</v>
      </c>
      <c r="AB28" s="14" t="s">
        <v>349</v>
      </c>
      <c r="AC28">
        <v>1</v>
      </c>
      <c r="AD28">
        <v>0</v>
      </c>
      <c r="AE28" t="b">
        <v>0</v>
      </c>
      <c r="AF28">
        <v>0</v>
      </c>
      <c r="AG28">
        <v>1</v>
      </c>
      <c r="AH28" s="15" t="s">
        <v>38</v>
      </c>
      <c r="AI28" t="b">
        <v>0</v>
      </c>
      <c r="AJ28">
        <v>0</v>
      </c>
      <c r="AL28" t="str">
        <f t="shared" si="0"/>
        <v>('e341408f-d777-4ab7-a06b-cae2b3bf5cff','2025-05-31 08:27:43.267332+00','866dabc4-6501-44d2-a0e5-65da9c45a46e','2025-05-31 08:27:43.267332+00','866dabc4-6501-44d2-a0e5-65da9c45a46e',TRUE,'001','2024-07-02 16:24:00+00',0,FALSE,'Unit1','','2022-04-01 08:27:00+00','2022-04-02 08:27:00+00',FALSE,0,FALSE,78,76,0,0,0,0,78,0,FALSE,'','f04be108-eb7e-470f-9fea-cccc2ffef804',1,0,FALSE,0,1,'4dbc7800-d343-4d6e-ab27-a7706b0cd126',FALSE,0),</v>
      </c>
    </row>
    <row r="29" spans="1:38" s="37" customFormat="1" x14ac:dyDescent="0.25">
      <c r="A29" s="37" t="s">
        <v>392</v>
      </c>
      <c r="B29" s="37" t="s">
        <v>213</v>
      </c>
      <c r="C29" s="37" t="s">
        <v>0</v>
      </c>
      <c r="D29" s="37" t="s">
        <v>213</v>
      </c>
      <c r="E29" s="37" t="s">
        <v>0</v>
      </c>
      <c r="F29" s="37" t="b">
        <v>1</v>
      </c>
      <c r="G29" s="38" t="s">
        <v>322</v>
      </c>
      <c r="H29" s="39" t="s">
        <v>350</v>
      </c>
      <c r="I29" s="37">
        <v>0</v>
      </c>
      <c r="J29" s="37" t="b">
        <v>0</v>
      </c>
      <c r="K29" s="37" t="s">
        <v>215</v>
      </c>
      <c r="M29" s="37" t="s">
        <v>217</v>
      </c>
      <c r="N29" s="37" t="s">
        <v>218</v>
      </c>
      <c r="O29" s="37" t="b">
        <v>0</v>
      </c>
      <c r="P29" s="37">
        <v>0</v>
      </c>
      <c r="Q29" s="37" t="b">
        <v>0</v>
      </c>
      <c r="R29" s="37">
        <v>78</v>
      </c>
      <c r="S29" s="37">
        <v>76</v>
      </c>
      <c r="T29" s="37">
        <v>0</v>
      </c>
      <c r="U29" s="37">
        <v>0</v>
      </c>
      <c r="V29" s="37">
        <v>0</v>
      </c>
      <c r="W29" s="37">
        <v>0</v>
      </c>
      <c r="X29" s="37">
        <v>78</v>
      </c>
      <c r="Y29" s="37">
        <v>0</v>
      </c>
      <c r="Z29" s="37" t="b">
        <v>0</v>
      </c>
      <c r="AB29" s="14" t="s">
        <v>349</v>
      </c>
      <c r="AC29" s="37">
        <v>1</v>
      </c>
      <c r="AD29" s="37">
        <v>0</v>
      </c>
      <c r="AE29" s="37" t="b">
        <v>0</v>
      </c>
      <c r="AF29" s="37">
        <v>0</v>
      </c>
      <c r="AG29" s="37">
        <v>1</v>
      </c>
      <c r="AH29" s="37" t="s">
        <v>38</v>
      </c>
      <c r="AI29" s="37" t="b">
        <v>0</v>
      </c>
      <c r="AJ29" s="37">
        <v>0</v>
      </c>
      <c r="AL29" s="37" t="str">
        <f t="shared" si="0"/>
        <v>('ac8fe1a2-288f-4d53-a9ea-0058ceb17134','2025-05-31 08:27:43.267332+00','866dabc4-6501-44d2-a0e5-65da9c45a46e','2025-05-31 08:27:43.267332+00','866dabc4-6501-44d2-a0e5-65da9c45a46e',TRUE,'001','2024-07-04 16:24:00+00',0,FALSE,'Unit1','','2022-04-01 08:27:00+00','2022-04-02 08:27:00+00',FALSE,0,FALSE,78,76,0,0,0,0,78,0,FALSE,'','f04be108-eb7e-470f-9fea-cccc2ffef804',1,0,FALSE,0,1,'4dbc7800-d343-4d6e-ab27-a7706b0cd126',FALSE,0),</v>
      </c>
    </row>
    <row r="30" spans="1:38" x14ac:dyDescent="0.25">
      <c r="A30" t="s">
        <v>393</v>
      </c>
      <c r="B30" t="s">
        <v>213</v>
      </c>
      <c r="C30" t="s">
        <v>0</v>
      </c>
      <c r="D30" t="s">
        <v>213</v>
      </c>
      <c r="E30" t="s">
        <v>0</v>
      </c>
      <c r="F30" t="b">
        <v>1</v>
      </c>
      <c r="G30" s="38" t="s">
        <v>322</v>
      </c>
      <c r="H30" s="39" t="s">
        <v>351</v>
      </c>
      <c r="I30">
        <v>0</v>
      </c>
      <c r="J30" t="b">
        <v>0</v>
      </c>
      <c r="K30" s="13" t="s">
        <v>215</v>
      </c>
      <c r="M30" t="s">
        <v>217</v>
      </c>
      <c r="N30" t="s">
        <v>218</v>
      </c>
      <c r="O30" t="b">
        <v>0</v>
      </c>
      <c r="P30">
        <v>0</v>
      </c>
      <c r="Q30" t="b">
        <v>0</v>
      </c>
      <c r="R30" s="12">
        <v>78</v>
      </c>
      <c r="S30" s="12">
        <v>76</v>
      </c>
      <c r="T30">
        <v>0</v>
      </c>
      <c r="U30">
        <v>0</v>
      </c>
      <c r="V30">
        <v>0</v>
      </c>
      <c r="W30">
        <v>0</v>
      </c>
      <c r="X30" s="12">
        <v>78</v>
      </c>
      <c r="Y30">
        <v>0</v>
      </c>
      <c r="Z30" t="b">
        <v>0</v>
      </c>
      <c r="AB30" s="14" t="s">
        <v>349</v>
      </c>
      <c r="AC30">
        <v>1</v>
      </c>
      <c r="AD30">
        <v>0</v>
      </c>
      <c r="AE30" t="b">
        <v>0</v>
      </c>
      <c r="AF30">
        <v>0</v>
      </c>
      <c r="AG30">
        <v>1</v>
      </c>
      <c r="AH30" s="15" t="s">
        <v>38</v>
      </c>
      <c r="AI30" t="b">
        <v>0</v>
      </c>
      <c r="AJ30">
        <v>0</v>
      </c>
      <c r="AL30" t="str">
        <f t="shared" si="0"/>
        <v>('cbc776a5-f4dd-4193-8c08-b8943d95eb4f','2025-05-31 08:27:43.267332+00','866dabc4-6501-44d2-a0e5-65da9c45a46e','2025-05-31 08:27:43.267332+00','866dabc4-6501-44d2-a0e5-65da9c45a46e',TRUE,'001','2024-07-06 16:24:00+00',0,FALSE,'Unit1','','2022-04-01 08:27:00+00','2022-04-02 08:27:00+00',FALSE,0,FALSE,78,76,0,0,0,0,78,0,FALSE,'','f04be108-eb7e-470f-9fea-cccc2ffef804',1,0,FALSE,0,1,'4dbc7800-d343-4d6e-ab27-a7706b0cd126',FALSE,0),</v>
      </c>
    </row>
    <row r="31" spans="1:38" x14ac:dyDescent="0.25">
      <c r="A31" t="s">
        <v>394</v>
      </c>
      <c r="B31" t="s">
        <v>213</v>
      </c>
      <c r="C31" t="s">
        <v>0</v>
      </c>
      <c r="D31" t="s">
        <v>213</v>
      </c>
      <c r="E31" t="s">
        <v>0</v>
      </c>
      <c r="F31" t="b">
        <v>1</v>
      </c>
      <c r="G31" s="38" t="s">
        <v>322</v>
      </c>
      <c r="H31" s="39" t="s">
        <v>352</v>
      </c>
      <c r="I31">
        <v>0</v>
      </c>
      <c r="J31" t="b">
        <v>0</v>
      </c>
      <c r="K31" s="13" t="s">
        <v>215</v>
      </c>
      <c r="M31" t="s">
        <v>217</v>
      </c>
      <c r="N31" t="s">
        <v>218</v>
      </c>
      <c r="O31" t="b">
        <v>0</v>
      </c>
      <c r="P31">
        <v>0</v>
      </c>
      <c r="Q31" t="b">
        <v>0</v>
      </c>
      <c r="R31" s="12">
        <v>78</v>
      </c>
      <c r="S31" s="12">
        <v>76</v>
      </c>
      <c r="T31">
        <v>0</v>
      </c>
      <c r="U31">
        <v>0</v>
      </c>
      <c r="V31">
        <v>0</v>
      </c>
      <c r="W31">
        <v>0</v>
      </c>
      <c r="X31" s="12">
        <v>78</v>
      </c>
      <c r="Y31">
        <v>0</v>
      </c>
      <c r="Z31" t="b">
        <v>0</v>
      </c>
      <c r="AB31" s="14" t="s">
        <v>349</v>
      </c>
      <c r="AC31">
        <v>1</v>
      </c>
      <c r="AD31">
        <v>0</v>
      </c>
      <c r="AE31" t="b">
        <v>0</v>
      </c>
      <c r="AF31">
        <v>0</v>
      </c>
      <c r="AG31">
        <v>1</v>
      </c>
      <c r="AH31" s="15" t="s">
        <v>38</v>
      </c>
      <c r="AI31" t="b">
        <v>0</v>
      </c>
      <c r="AJ31">
        <v>0</v>
      </c>
      <c r="AL31" t="str">
        <f t="shared" si="0"/>
        <v>('97d435a6-b133-4f08-951c-394bc472b834','2025-05-31 08:27:43.267332+00','866dabc4-6501-44d2-a0e5-65da9c45a46e','2025-05-31 08:27:43.267332+00','866dabc4-6501-44d2-a0e5-65da9c45a46e',TRUE,'001','2024-07-09 16:24:00+00',0,FALSE,'Unit1','','2022-04-01 08:27:00+00','2022-04-02 08:27:00+00',FALSE,0,FALSE,78,76,0,0,0,0,78,0,FALSE,'','f04be108-eb7e-470f-9fea-cccc2ffef804',1,0,FALSE,0,1,'4dbc7800-d343-4d6e-ab27-a7706b0cd126',FALSE,0),</v>
      </c>
    </row>
    <row r="32" spans="1:38" x14ac:dyDescent="0.25">
      <c r="A32" t="s">
        <v>395</v>
      </c>
      <c r="B32" t="s">
        <v>213</v>
      </c>
      <c r="C32" t="s">
        <v>0</v>
      </c>
      <c r="D32" t="s">
        <v>213</v>
      </c>
      <c r="E32" t="s">
        <v>0</v>
      </c>
      <c r="F32" t="b">
        <v>1</v>
      </c>
      <c r="G32" s="38" t="s">
        <v>322</v>
      </c>
      <c r="H32" s="39" t="s">
        <v>353</v>
      </c>
      <c r="I32">
        <v>0</v>
      </c>
      <c r="J32" t="b">
        <v>0</v>
      </c>
      <c r="K32" s="13" t="s">
        <v>215</v>
      </c>
      <c r="M32" t="s">
        <v>217</v>
      </c>
      <c r="N32" t="s">
        <v>218</v>
      </c>
      <c r="O32" t="b">
        <v>0</v>
      </c>
      <c r="P32">
        <v>0</v>
      </c>
      <c r="Q32" t="b">
        <v>0</v>
      </c>
      <c r="R32" s="12">
        <v>78</v>
      </c>
      <c r="S32" s="12">
        <v>76</v>
      </c>
      <c r="T32">
        <v>0</v>
      </c>
      <c r="U32">
        <v>0</v>
      </c>
      <c r="V32">
        <v>0</v>
      </c>
      <c r="W32">
        <v>0</v>
      </c>
      <c r="X32" s="12">
        <v>78</v>
      </c>
      <c r="Y32">
        <v>0</v>
      </c>
      <c r="Z32" t="b">
        <v>0</v>
      </c>
      <c r="AB32" s="14" t="s">
        <v>349</v>
      </c>
      <c r="AC32">
        <v>1</v>
      </c>
      <c r="AD32">
        <v>0</v>
      </c>
      <c r="AE32" t="b">
        <v>0</v>
      </c>
      <c r="AF32">
        <v>0</v>
      </c>
      <c r="AG32">
        <v>1</v>
      </c>
      <c r="AH32" s="15" t="s">
        <v>38</v>
      </c>
      <c r="AI32" t="b">
        <v>0</v>
      </c>
      <c r="AJ32">
        <v>0</v>
      </c>
      <c r="AL32" t="str">
        <f>_xlfn.CONCAT("('",A33,"','",B33,"','",C33,"','",D33,"','",E33,"',",F33,",'",G33,"','",H33,"',",I33,",",J33,",'",K33,"','",L33,"','",M33,"','",N33,"',",O33,",",P33,",",Q33,",",R33,",",S33,",",T33,",",U33,",",V33,",",W33,",",X33,",",Y33,",",Z33,",'",AA33,"','",AB33,"',",AC33,",",AD33,",",AE33,",",AF33,",",AG33,",'",AH33,"',",AI33,",",AJ33,"),")</f>
        <v>('8f2323c1-ce47-4acd-992f-80caf64eeae4','2025-05-31 08:27:43.267332+00','866dabc4-6501-44d2-a0e5-65da9c45a46e','2025-05-31 08:27:43.267332+00','866dabc4-6501-44d2-a0e5-65da9c45a46e',TRUE,'001','2024-07-11 16:24:00+00',0,FALSE,'Unit1','','2022-04-01 08:27:00+00','2022-04-02 08:27:00+00',FALSE,0,FALSE,78,76,0,0,0,0,78,0,FALSE,'','f04be108-eb7e-470f-9fea-cccc2ffef804',1,0,FALSE,0,1,'4dbc7800-d343-4d6e-ab27-a7706b0cd126',FALSE,0),</v>
      </c>
    </row>
    <row r="33" spans="1:38" x14ac:dyDescent="0.25">
      <c r="A33" t="s">
        <v>396</v>
      </c>
      <c r="B33" t="s">
        <v>213</v>
      </c>
      <c r="C33" t="s">
        <v>0</v>
      </c>
      <c r="D33" t="s">
        <v>213</v>
      </c>
      <c r="E33" t="s">
        <v>0</v>
      </c>
      <c r="F33" t="b">
        <v>1</v>
      </c>
      <c r="G33" s="38" t="s">
        <v>322</v>
      </c>
      <c r="H33" s="39" t="s">
        <v>354</v>
      </c>
      <c r="I33">
        <v>0</v>
      </c>
      <c r="J33" t="b">
        <v>0</v>
      </c>
      <c r="K33" s="13" t="s">
        <v>215</v>
      </c>
      <c r="M33" t="s">
        <v>217</v>
      </c>
      <c r="N33" t="s">
        <v>218</v>
      </c>
      <c r="O33" t="b">
        <v>0</v>
      </c>
      <c r="P33">
        <v>0</v>
      </c>
      <c r="Q33" t="b">
        <v>0</v>
      </c>
      <c r="R33" s="12">
        <v>78</v>
      </c>
      <c r="S33" s="12">
        <v>76</v>
      </c>
      <c r="T33">
        <v>0</v>
      </c>
      <c r="U33">
        <v>0</v>
      </c>
      <c r="V33">
        <v>0</v>
      </c>
      <c r="W33">
        <v>0</v>
      </c>
      <c r="X33" s="12">
        <v>78</v>
      </c>
      <c r="Y33">
        <v>0</v>
      </c>
      <c r="Z33" t="b">
        <v>0</v>
      </c>
      <c r="AB33" s="14" t="s">
        <v>349</v>
      </c>
      <c r="AC33">
        <v>1</v>
      </c>
      <c r="AD33">
        <v>0</v>
      </c>
      <c r="AE33" t="b">
        <v>0</v>
      </c>
      <c r="AF33">
        <v>0</v>
      </c>
      <c r="AG33">
        <v>1</v>
      </c>
      <c r="AH33" s="15" t="s">
        <v>38</v>
      </c>
      <c r="AI33" t="b">
        <v>0</v>
      </c>
      <c r="AJ33">
        <v>0</v>
      </c>
      <c r="AL33" t="str">
        <f t="shared" si="0"/>
        <v>('dcbff15a-4e4d-4957-bba9-fee79d6ba025','2025-05-31 08:27:43.267332+00','866dabc4-6501-44d2-a0e5-65da9c45a46e','2025-05-31 08:27:43.267332+00','866dabc4-6501-44d2-a0e5-65da9c45a46e',TRUE,'001','2024-07-13 16:24:00+00',0,FALSE,'Unit1','','2022-04-01 08:27:00+00','2022-04-02 08:27:00+00',FALSE,0,FALSE,78,76,0,0,0,0,78,0,FALSE,'','f04be108-eb7e-470f-9fea-cccc2ffef804',1,0,FALSE,0,1,'4dbc7800-d343-4d6e-ab27-a7706b0cd126',FALSE,0),</v>
      </c>
    </row>
    <row r="34" spans="1:38" x14ac:dyDescent="0.25">
      <c r="A34" t="s">
        <v>397</v>
      </c>
      <c r="B34" t="s">
        <v>213</v>
      </c>
      <c r="C34" t="s">
        <v>0</v>
      </c>
      <c r="D34" t="s">
        <v>213</v>
      </c>
      <c r="E34" t="s">
        <v>0</v>
      </c>
      <c r="F34" t="b">
        <v>1</v>
      </c>
      <c r="G34" s="38" t="s">
        <v>322</v>
      </c>
      <c r="H34" s="39" t="s">
        <v>355</v>
      </c>
      <c r="I34" s="37">
        <v>0</v>
      </c>
      <c r="J34" s="37" t="b">
        <v>0</v>
      </c>
      <c r="K34" s="37" t="s">
        <v>215</v>
      </c>
      <c r="L34" s="37"/>
      <c r="M34" s="37" t="s">
        <v>217</v>
      </c>
      <c r="N34" s="37" t="s">
        <v>218</v>
      </c>
      <c r="O34" s="37" t="b">
        <v>0</v>
      </c>
      <c r="P34" s="37">
        <v>0</v>
      </c>
      <c r="Q34" s="37" t="b">
        <v>0</v>
      </c>
      <c r="R34" s="37">
        <v>78</v>
      </c>
      <c r="S34" s="37">
        <v>76</v>
      </c>
      <c r="T34" s="37">
        <v>0</v>
      </c>
      <c r="U34" s="37">
        <v>0</v>
      </c>
      <c r="V34" s="37">
        <v>0</v>
      </c>
      <c r="W34" s="37">
        <v>0</v>
      </c>
      <c r="X34" s="37">
        <v>78</v>
      </c>
      <c r="Y34" s="37">
        <v>0</v>
      </c>
      <c r="Z34" s="37" t="b">
        <v>0</v>
      </c>
      <c r="AA34" s="37"/>
      <c r="AB34" s="14" t="s">
        <v>349</v>
      </c>
      <c r="AC34" s="37">
        <v>1</v>
      </c>
      <c r="AD34" s="37">
        <v>0</v>
      </c>
      <c r="AE34" s="37" t="b">
        <v>0</v>
      </c>
      <c r="AF34" s="37">
        <v>0</v>
      </c>
      <c r="AG34" s="37">
        <v>1</v>
      </c>
      <c r="AH34" s="37" t="s">
        <v>38</v>
      </c>
      <c r="AI34" s="37" t="b">
        <v>0</v>
      </c>
      <c r="AJ34" s="37">
        <v>0</v>
      </c>
      <c r="AL34" t="str">
        <f t="shared" si="0"/>
        <v>('b425a896-4085-42da-acd9-0b90b46bea5d','2025-05-31 08:27:43.267332+00','866dabc4-6501-44d2-a0e5-65da9c45a46e','2025-05-31 08:27:43.267332+00','866dabc4-6501-44d2-a0e5-65da9c45a46e',TRUE,'001','2024-07-16 16:24:00+00',0,FALSE,'Unit1','','2022-04-01 08:27:00+00','2022-04-02 08:27:00+00',FALSE,0,FALSE,78,76,0,0,0,0,78,0,FALSE,'','f04be108-eb7e-470f-9fea-cccc2ffef804',1,0,FALSE,0,1,'4dbc7800-d343-4d6e-ab27-a7706b0cd126',FALSE,0),</v>
      </c>
    </row>
    <row r="35" spans="1:38" x14ac:dyDescent="0.25">
      <c r="A35" t="s">
        <v>398</v>
      </c>
      <c r="B35" t="s">
        <v>213</v>
      </c>
      <c r="C35" t="s">
        <v>0</v>
      </c>
      <c r="D35" t="s">
        <v>213</v>
      </c>
      <c r="E35" t="s">
        <v>0</v>
      </c>
      <c r="F35" t="b">
        <v>1</v>
      </c>
      <c r="G35" s="38" t="s">
        <v>322</v>
      </c>
      <c r="H35" s="39" t="s">
        <v>356</v>
      </c>
      <c r="I35">
        <v>0</v>
      </c>
      <c r="J35" t="b">
        <v>0</v>
      </c>
      <c r="K35" s="13" t="s">
        <v>215</v>
      </c>
      <c r="M35" t="s">
        <v>217</v>
      </c>
      <c r="N35" t="s">
        <v>218</v>
      </c>
      <c r="O35" t="b">
        <v>0</v>
      </c>
      <c r="P35">
        <v>0</v>
      </c>
      <c r="Q35" t="b">
        <v>0</v>
      </c>
      <c r="R35" s="12">
        <v>78</v>
      </c>
      <c r="S35" s="12">
        <v>76</v>
      </c>
      <c r="T35">
        <v>0</v>
      </c>
      <c r="U35">
        <v>0</v>
      </c>
      <c r="V35">
        <v>0</v>
      </c>
      <c r="W35">
        <v>0</v>
      </c>
      <c r="X35" s="12">
        <v>78</v>
      </c>
      <c r="Y35">
        <v>0</v>
      </c>
      <c r="Z35" t="b">
        <v>0</v>
      </c>
      <c r="AB35" s="14" t="s">
        <v>349</v>
      </c>
      <c r="AC35">
        <v>1</v>
      </c>
      <c r="AD35">
        <v>0</v>
      </c>
      <c r="AE35" t="b">
        <v>0</v>
      </c>
      <c r="AF35">
        <v>0</v>
      </c>
      <c r="AG35">
        <v>1</v>
      </c>
      <c r="AH35" s="15" t="s">
        <v>38</v>
      </c>
      <c r="AI35" t="b">
        <v>0</v>
      </c>
      <c r="AJ35">
        <v>0</v>
      </c>
      <c r="AL35" t="str">
        <f t="shared" si="0"/>
        <v>('a478452d-b4d3-424d-96cc-70c724ad38a4','2025-05-31 08:27:43.267332+00','866dabc4-6501-44d2-a0e5-65da9c45a46e','2025-05-31 08:27:43.267332+00','866dabc4-6501-44d2-a0e5-65da9c45a46e',TRUE,'001','2024-07-18 16:24:00+00',0,FALSE,'Unit1','','2022-04-01 08:27:00+00','2022-04-02 08:27:00+00',FALSE,0,FALSE,78,76,0,0,0,0,78,0,FALSE,'','f04be108-eb7e-470f-9fea-cccc2ffef804',1,0,FALSE,0,1,'4dbc7800-d343-4d6e-ab27-a7706b0cd126',FALSE,0),</v>
      </c>
    </row>
    <row r="36" spans="1:38" x14ac:dyDescent="0.25">
      <c r="A36" t="s">
        <v>399</v>
      </c>
      <c r="B36" t="s">
        <v>213</v>
      </c>
      <c r="C36" t="s">
        <v>0</v>
      </c>
      <c r="D36" t="s">
        <v>213</v>
      </c>
      <c r="E36" t="s">
        <v>0</v>
      </c>
      <c r="F36" t="b">
        <v>1</v>
      </c>
      <c r="G36" s="38" t="s">
        <v>322</v>
      </c>
      <c r="H36" s="39" t="s">
        <v>357</v>
      </c>
      <c r="I36">
        <v>0</v>
      </c>
      <c r="J36" t="b">
        <v>0</v>
      </c>
      <c r="K36" s="13" t="s">
        <v>215</v>
      </c>
      <c r="M36" t="s">
        <v>217</v>
      </c>
      <c r="N36" t="s">
        <v>218</v>
      </c>
      <c r="O36" t="b">
        <v>0</v>
      </c>
      <c r="P36">
        <v>0</v>
      </c>
      <c r="Q36" t="b">
        <v>0</v>
      </c>
      <c r="R36" s="12">
        <v>78</v>
      </c>
      <c r="S36" s="12">
        <v>76</v>
      </c>
      <c r="T36">
        <v>0</v>
      </c>
      <c r="U36">
        <v>0</v>
      </c>
      <c r="V36">
        <v>0</v>
      </c>
      <c r="W36">
        <v>0</v>
      </c>
      <c r="X36" s="12">
        <v>78</v>
      </c>
      <c r="Y36">
        <v>0</v>
      </c>
      <c r="Z36" t="b">
        <v>0</v>
      </c>
      <c r="AB36" s="14" t="s">
        <v>349</v>
      </c>
      <c r="AC36">
        <v>1</v>
      </c>
      <c r="AD36">
        <v>0</v>
      </c>
      <c r="AE36" t="b">
        <v>0</v>
      </c>
      <c r="AF36">
        <v>0</v>
      </c>
      <c r="AG36">
        <v>1</v>
      </c>
      <c r="AH36" s="15" t="s">
        <v>38</v>
      </c>
      <c r="AI36" t="b">
        <v>0</v>
      </c>
      <c r="AJ36">
        <v>0</v>
      </c>
      <c r="AL36" t="str">
        <f t="shared" si="0"/>
        <v>('4a17e2bd-9a01-4422-858c-f2b4e9668d67','2025-05-31 08:27:43.267332+00','866dabc4-6501-44d2-a0e5-65da9c45a46e','2025-05-31 08:27:43.267332+00','866dabc4-6501-44d2-a0e5-65da9c45a46e',TRUE,'001','2024-07-20 16:24:00+00',0,FALSE,'Unit1','','2022-04-01 08:27:00+00','2022-04-02 08:27:00+00',FALSE,0,FALSE,78,76,0,0,0,0,78,0,FALSE,'','f04be108-eb7e-470f-9fea-cccc2ffef804',1,0,FALSE,0,1,'4dbc7800-d343-4d6e-ab27-a7706b0cd126',FALSE,0),</v>
      </c>
    </row>
    <row r="37" spans="1:38" x14ac:dyDescent="0.25">
      <c r="A37" t="s">
        <v>400</v>
      </c>
      <c r="B37" t="s">
        <v>213</v>
      </c>
      <c r="C37" t="s">
        <v>0</v>
      </c>
      <c r="D37" t="s">
        <v>213</v>
      </c>
      <c r="E37" t="s">
        <v>0</v>
      </c>
      <c r="F37" t="b">
        <v>1</v>
      </c>
      <c r="G37" s="38" t="s">
        <v>322</v>
      </c>
      <c r="H37" s="39" t="s">
        <v>358</v>
      </c>
      <c r="I37">
        <v>0</v>
      </c>
      <c r="J37" t="b">
        <v>0</v>
      </c>
      <c r="K37" s="13" t="s">
        <v>215</v>
      </c>
      <c r="M37" t="s">
        <v>217</v>
      </c>
      <c r="N37" t="s">
        <v>218</v>
      </c>
      <c r="O37" t="b">
        <v>0</v>
      </c>
      <c r="P37">
        <v>0</v>
      </c>
      <c r="Q37" t="b">
        <v>0</v>
      </c>
      <c r="R37" s="12">
        <v>78</v>
      </c>
      <c r="S37" s="12">
        <v>76</v>
      </c>
      <c r="T37">
        <v>0</v>
      </c>
      <c r="U37">
        <v>0</v>
      </c>
      <c r="V37">
        <v>0</v>
      </c>
      <c r="W37">
        <v>0</v>
      </c>
      <c r="X37" s="12">
        <v>78</v>
      </c>
      <c r="Y37">
        <v>0</v>
      </c>
      <c r="Z37" t="b">
        <v>0</v>
      </c>
      <c r="AB37" s="14" t="s">
        <v>349</v>
      </c>
      <c r="AC37">
        <v>1</v>
      </c>
      <c r="AD37">
        <v>0</v>
      </c>
      <c r="AE37" t="b">
        <v>0</v>
      </c>
      <c r="AF37">
        <v>0</v>
      </c>
      <c r="AG37">
        <v>1</v>
      </c>
      <c r="AH37" s="15" t="s">
        <v>38</v>
      </c>
      <c r="AI37" t="b">
        <v>0</v>
      </c>
      <c r="AJ37">
        <v>0</v>
      </c>
      <c r="AL37" t="str">
        <f t="shared" si="0"/>
        <v>('82e711ee-278a-4315-bef6-2b782267cc65','2025-05-31 08:27:43.267332+00','866dabc4-6501-44d2-a0e5-65da9c45a46e','2025-05-31 08:27:43.267332+00','866dabc4-6501-44d2-a0e5-65da9c45a46e',TRUE,'001','2024-07-23 16:24:00+00',0,FALSE,'Unit1','','2022-04-01 08:27:00+00','2022-04-02 08:27:00+00',FALSE,0,FALSE,78,76,0,0,0,0,78,0,FALSE,'','f04be108-eb7e-470f-9fea-cccc2ffef804',1,0,FALSE,0,1,'4dbc7800-d343-4d6e-ab27-a7706b0cd126',FALSE,0),</v>
      </c>
    </row>
    <row r="38" spans="1:38" x14ac:dyDescent="0.25">
      <c r="A38" s="25" t="s">
        <v>401</v>
      </c>
      <c r="B38" t="s">
        <v>213</v>
      </c>
      <c r="C38" t="s">
        <v>0</v>
      </c>
      <c r="D38" t="s">
        <v>213</v>
      </c>
      <c r="E38" t="s">
        <v>0</v>
      </c>
      <c r="F38" t="b">
        <v>1</v>
      </c>
      <c r="G38" s="38" t="s">
        <v>322</v>
      </c>
      <c r="H38" s="39" t="s">
        <v>359</v>
      </c>
      <c r="I38">
        <v>0</v>
      </c>
      <c r="J38" t="b">
        <v>0</v>
      </c>
      <c r="K38" s="13" t="s">
        <v>215</v>
      </c>
      <c r="M38" t="s">
        <v>217</v>
      </c>
      <c r="N38" t="s">
        <v>218</v>
      </c>
      <c r="O38" t="b">
        <v>0</v>
      </c>
      <c r="P38">
        <v>0</v>
      </c>
      <c r="Q38" t="b">
        <v>0</v>
      </c>
      <c r="R38" s="12">
        <v>78</v>
      </c>
      <c r="S38" s="12">
        <v>76</v>
      </c>
      <c r="T38">
        <v>0</v>
      </c>
      <c r="U38">
        <v>0</v>
      </c>
      <c r="V38">
        <v>0</v>
      </c>
      <c r="W38">
        <v>0</v>
      </c>
      <c r="X38" s="12">
        <v>78</v>
      </c>
      <c r="Y38">
        <v>0</v>
      </c>
      <c r="Z38" t="b">
        <v>0</v>
      </c>
      <c r="AB38" s="14" t="s">
        <v>349</v>
      </c>
      <c r="AC38">
        <v>1</v>
      </c>
      <c r="AD38">
        <v>0</v>
      </c>
      <c r="AE38" t="b">
        <v>0</v>
      </c>
      <c r="AF38">
        <v>0</v>
      </c>
      <c r="AG38">
        <v>1</v>
      </c>
      <c r="AH38" s="15" t="s">
        <v>38</v>
      </c>
      <c r="AI38" t="b">
        <v>0</v>
      </c>
      <c r="AJ38">
        <v>0</v>
      </c>
      <c r="AL38" t="str">
        <f t="shared" si="0"/>
        <v>('2ab8e572-c88e-4b21-acdf-b8a0835148d8','2025-05-31 08:27:43.267332+00','866dabc4-6501-44d2-a0e5-65da9c45a46e','2025-05-31 08:27:43.267332+00','866dabc4-6501-44d2-a0e5-65da9c45a46e',TRUE,'001','2024-07-25 16:24:00+00',0,FALSE,'Unit1','','2022-04-01 08:27:00+00','2022-04-02 08:27:00+00',FALSE,0,FALSE,78,76,0,0,0,0,78,0,FALSE,'','f04be108-eb7e-470f-9fea-cccc2ffef804',1,0,FALSE,0,1,'4dbc7800-d343-4d6e-ab27-a7706b0cd126',FALSE,0),</v>
      </c>
    </row>
    <row r="39" spans="1:38" x14ac:dyDescent="0.25">
      <c r="A39" t="s">
        <v>402</v>
      </c>
      <c r="B39" t="s">
        <v>213</v>
      </c>
      <c r="C39" t="s">
        <v>0</v>
      </c>
      <c r="D39" t="s">
        <v>213</v>
      </c>
      <c r="E39" t="s">
        <v>0</v>
      </c>
      <c r="F39" t="b">
        <v>1</v>
      </c>
      <c r="G39" s="38" t="s">
        <v>322</v>
      </c>
      <c r="H39" s="39" t="s">
        <v>360</v>
      </c>
      <c r="I39" s="37">
        <v>0</v>
      </c>
      <c r="J39" s="37" t="b">
        <v>0</v>
      </c>
      <c r="K39" s="37" t="s">
        <v>215</v>
      </c>
      <c r="L39" s="37"/>
      <c r="M39" s="37" t="s">
        <v>217</v>
      </c>
      <c r="N39" s="37" t="s">
        <v>218</v>
      </c>
      <c r="O39" s="37" t="b">
        <v>0</v>
      </c>
      <c r="P39" s="37">
        <v>0</v>
      </c>
      <c r="Q39" s="37" t="b">
        <v>0</v>
      </c>
      <c r="R39" s="37">
        <v>78</v>
      </c>
      <c r="S39" s="37">
        <v>76</v>
      </c>
      <c r="T39" s="37">
        <v>0</v>
      </c>
      <c r="U39" s="37">
        <v>0</v>
      </c>
      <c r="V39" s="37">
        <v>0</v>
      </c>
      <c r="W39" s="37">
        <v>0</v>
      </c>
      <c r="X39" s="37">
        <v>78</v>
      </c>
      <c r="Y39" s="37">
        <v>0</v>
      </c>
      <c r="Z39" s="37" t="b">
        <v>0</v>
      </c>
      <c r="AA39" s="37"/>
      <c r="AB39" s="14" t="s">
        <v>349</v>
      </c>
      <c r="AC39" s="37">
        <v>1</v>
      </c>
      <c r="AD39" s="37">
        <v>0</v>
      </c>
      <c r="AE39" s="37" t="b">
        <v>0</v>
      </c>
      <c r="AF39" s="37">
        <v>0</v>
      </c>
      <c r="AG39" s="37">
        <v>1</v>
      </c>
      <c r="AH39" s="37" t="s">
        <v>38</v>
      </c>
      <c r="AI39" s="37" t="b">
        <v>0</v>
      </c>
      <c r="AJ39" s="37">
        <v>0</v>
      </c>
      <c r="AL39" t="str">
        <f t="shared" si="0"/>
        <v>('2f978131-a878-43c5-a5d5-7b4970f0ce68','2025-05-31 08:27:43.267332+00','866dabc4-6501-44d2-a0e5-65da9c45a46e','2025-05-31 08:27:43.267332+00','866dabc4-6501-44d2-a0e5-65da9c45a46e',TRUE,'001','2024-07-27 16:24:00+00',0,FALSE,'Unit1','','2022-04-01 08:27:00+00','2022-04-02 08:27:00+00',FALSE,0,FALSE,78,76,0,0,0,0,78,0,FALSE,'','f04be108-eb7e-470f-9fea-cccc2ffef804',1,0,FALSE,0,1,'4dbc7800-d343-4d6e-ab27-a7706b0cd126',FALSE,0),</v>
      </c>
    </row>
    <row r="40" spans="1:38" x14ac:dyDescent="0.25">
      <c r="A40" t="s">
        <v>403</v>
      </c>
      <c r="B40" t="s">
        <v>213</v>
      </c>
      <c r="C40" t="s">
        <v>0</v>
      </c>
      <c r="D40" t="s">
        <v>213</v>
      </c>
      <c r="E40" t="s">
        <v>0</v>
      </c>
      <c r="F40" t="b">
        <v>1</v>
      </c>
      <c r="G40" s="38" t="s">
        <v>322</v>
      </c>
      <c r="H40" s="39" t="s">
        <v>361</v>
      </c>
      <c r="I40">
        <v>0</v>
      </c>
      <c r="J40" t="b">
        <v>0</v>
      </c>
      <c r="K40" s="13" t="s">
        <v>215</v>
      </c>
      <c r="M40" t="s">
        <v>217</v>
      </c>
      <c r="N40" t="s">
        <v>218</v>
      </c>
      <c r="O40" t="b">
        <v>0</v>
      </c>
      <c r="P40">
        <v>0</v>
      </c>
      <c r="Q40" t="b">
        <v>0</v>
      </c>
      <c r="R40" s="12">
        <v>78</v>
      </c>
      <c r="S40" s="12">
        <v>76</v>
      </c>
      <c r="T40">
        <v>0</v>
      </c>
      <c r="U40">
        <v>0</v>
      </c>
      <c r="V40">
        <v>0</v>
      </c>
      <c r="W40">
        <v>0</v>
      </c>
      <c r="X40" s="12">
        <v>78</v>
      </c>
      <c r="Y40">
        <v>0</v>
      </c>
      <c r="Z40" t="b">
        <v>0</v>
      </c>
      <c r="AB40" s="14" t="s">
        <v>349</v>
      </c>
      <c r="AC40">
        <v>1</v>
      </c>
      <c r="AD40">
        <v>0</v>
      </c>
      <c r="AE40" t="b">
        <v>0</v>
      </c>
      <c r="AF40">
        <v>0</v>
      </c>
      <c r="AG40">
        <v>1</v>
      </c>
      <c r="AH40" s="15" t="s">
        <v>38</v>
      </c>
      <c r="AI40" t="b">
        <v>0</v>
      </c>
      <c r="AJ40">
        <v>0</v>
      </c>
      <c r="AL40" t="str">
        <f t="shared" si="0"/>
        <v>('4021a403-6e25-47a3-bdac-ceee455d2db4','2025-05-31 08:27:43.267332+00','866dabc4-6501-44d2-a0e5-65da9c45a46e','2025-05-31 08:27:43.267332+00','866dabc4-6501-44d2-a0e5-65da9c45a46e',TRUE,'001','2024-08-30 16:24:00+00',0,FALSE,'Unit1','','2022-04-01 08:27:00+00','2022-04-02 08:27:00+00',FALSE,0,FALSE,78,76,0,0,0,0,78,0,FALSE,'','f04be108-eb7e-470f-9fea-cccc2ffef804',1,0,FALSE,0,1,'4dbc7800-d343-4d6e-ab27-a7706b0cd126',FALSE,0),</v>
      </c>
    </row>
    <row r="41" spans="1:38" x14ac:dyDescent="0.25">
      <c r="A41" t="s">
        <v>404</v>
      </c>
      <c r="B41" t="s">
        <v>213</v>
      </c>
      <c r="C41" t="s">
        <v>0</v>
      </c>
      <c r="D41" t="s">
        <v>213</v>
      </c>
      <c r="E41" t="s">
        <v>0</v>
      </c>
      <c r="F41" t="b">
        <v>1</v>
      </c>
      <c r="G41" s="38" t="s">
        <v>322</v>
      </c>
      <c r="H41" s="39" t="s">
        <v>362</v>
      </c>
      <c r="I41">
        <v>0</v>
      </c>
      <c r="J41" t="b">
        <v>0</v>
      </c>
      <c r="K41" s="13" t="s">
        <v>215</v>
      </c>
      <c r="M41" t="s">
        <v>217</v>
      </c>
      <c r="N41" t="s">
        <v>218</v>
      </c>
      <c r="O41" t="b">
        <v>0</v>
      </c>
      <c r="P41">
        <v>0</v>
      </c>
      <c r="Q41" t="b">
        <v>0</v>
      </c>
      <c r="R41" s="12">
        <v>78</v>
      </c>
      <c r="S41" s="12">
        <v>76</v>
      </c>
      <c r="T41">
        <v>0</v>
      </c>
      <c r="U41">
        <v>0</v>
      </c>
      <c r="V41">
        <v>0</v>
      </c>
      <c r="W41">
        <v>0</v>
      </c>
      <c r="X41" s="12">
        <v>78</v>
      </c>
      <c r="Y41">
        <v>0</v>
      </c>
      <c r="Z41" t="b">
        <v>0</v>
      </c>
      <c r="AB41" s="14" t="s">
        <v>349</v>
      </c>
      <c r="AC41">
        <v>1</v>
      </c>
      <c r="AD41">
        <v>0</v>
      </c>
      <c r="AE41" t="b">
        <v>0</v>
      </c>
      <c r="AF41">
        <v>0</v>
      </c>
      <c r="AG41">
        <v>1</v>
      </c>
      <c r="AH41" s="15" t="s">
        <v>38</v>
      </c>
      <c r="AI41" t="b">
        <v>0</v>
      </c>
      <c r="AJ41">
        <v>0</v>
      </c>
      <c r="AL41" t="str">
        <f t="shared" si="0"/>
        <v>('426e6743-36ff-407e-a04a-5dccbf476347','2025-05-31 08:27:43.267332+00','866dabc4-6501-44d2-a0e5-65da9c45a46e','2025-05-31 08:27:43.267332+00','866dabc4-6501-44d2-a0e5-65da9c45a46e',TRUE,'001','2024-08-01 16:24:00+00',0,FALSE,'Unit1','','2022-04-01 08:27:00+00','2022-04-02 08:27:00+00',FALSE,0,FALSE,78,76,0,0,0,0,78,0,FALSE,'','f04be108-eb7e-470f-9fea-cccc2ffef804',1,0,FALSE,0,1,'4dbc7800-d343-4d6e-ab27-a7706b0cd126',FALSE,0),</v>
      </c>
    </row>
    <row r="42" spans="1:38" x14ac:dyDescent="0.25">
      <c r="A42" s="25" t="s">
        <v>405</v>
      </c>
      <c r="B42" t="s">
        <v>213</v>
      </c>
      <c r="C42" t="s">
        <v>0</v>
      </c>
      <c r="D42" t="s">
        <v>213</v>
      </c>
      <c r="E42" t="s">
        <v>0</v>
      </c>
      <c r="F42" t="b">
        <v>1</v>
      </c>
      <c r="G42" s="38" t="s">
        <v>322</v>
      </c>
      <c r="H42" s="39" t="s">
        <v>363</v>
      </c>
      <c r="I42">
        <v>0</v>
      </c>
      <c r="J42" t="b">
        <v>0</v>
      </c>
      <c r="K42" s="13" t="s">
        <v>215</v>
      </c>
      <c r="M42" t="s">
        <v>217</v>
      </c>
      <c r="N42" t="s">
        <v>218</v>
      </c>
      <c r="O42" t="b">
        <v>0</v>
      </c>
      <c r="P42">
        <v>0</v>
      </c>
      <c r="Q42" t="b">
        <v>0</v>
      </c>
      <c r="R42" s="12">
        <v>78</v>
      </c>
      <c r="S42" s="12">
        <v>76</v>
      </c>
      <c r="T42">
        <v>0</v>
      </c>
      <c r="U42">
        <v>0</v>
      </c>
      <c r="V42">
        <v>0</v>
      </c>
      <c r="W42">
        <v>0</v>
      </c>
      <c r="X42" s="12">
        <v>78</v>
      </c>
      <c r="Y42">
        <v>0</v>
      </c>
      <c r="Z42" t="b">
        <v>0</v>
      </c>
      <c r="AB42" s="14" t="s">
        <v>349</v>
      </c>
      <c r="AC42">
        <v>1</v>
      </c>
      <c r="AD42">
        <v>0</v>
      </c>
      <c r="AE42" t="b">
        <v>0</v>
      </c>
      <c r="AF42">
        <v>0</v>
      </c>
      <c r="AG42">
        <v>1</v>
      </c>
      <c r="AH42" s="15" t="s">
        <v>38</v>
      </c>
      <c r="AI42" t="b">
        <v>0</v>
      </c>
      <c r="AJ42">
        <v>0</v>
      </c>
      <c r="AL42" t="str">
        <f t="shared" si="0"/>
        <v>('06ab180d-c825-4fdf-9286-f0a69f3ce764','2025-05-31 08:27:43.267332+00','866dabc4-6501-44d2-a0e5-65da9c45a46e','2025-05-31 08:27:43.267332+00','866dabc4-6501-44d2-a0e5-65da9c45a46e',TRUE,'001','2024-08-03 16:24:00+00',0,FALSE,'Unit1','','2022-04-01 08:27:00+00','2022-04-02 08:27:00+00',FALSE,0,FALSE,78,76,0,0,0,0,78,0,FALSE,'','f04be108-eb7e-470f-9fea-cccc2ffef804',1,0,FALSE,0,1,'4dbc7800-d343-4d6e-ab27-a7706b0cd126',FALSE,0),</v>
      </c>
    </row>
    <row r="43" spans="1:38" x14ac:dyDescent="0.25">
      <c r="A43" t="s">
        <v>406</v>
      </c>
      <c r="B43" t="s">
        <v>213</v>
      </c>
      <c r="C43" t="s">
        <v>0</v>
      </c>
      <c r="D43" t="s">
        <v>213</v>
      </c>
      <c r="E43" t="s">
        <v>0</v>
      </c>
      <c r="F43" t="b">
        <v>1</v>
      </c>
      <c r="G43" s="38" t="s">
        <v>322</v>
      </c>
      <c r="H43" s="39" t="s">
        <v>364</v>
      </c>
      <c r="I43">
        <v>0</v>
      </c>
      <c r="J43" t="b">
        <v>0</v>
      </c>
      <c r="K43" s="13" t="s">
        <v>215</v>
      </c>
      <c r="M43" t="s">
        <v>217</v>
      </c>
      <c r="N43" t="s">
        <v>218</v>
      </c>
      <c r="O43" t="b">
        <v>0</v>
      </c>
      <c r="P43">
        <v>0</v>
      </c>
      <c r="Q43" t="b">
        <v>0</v>
      </c>
      <c r="R43" s="12">
        <v>78</v>
      </c>
      <c r="S43" s="12">
        <v>76</v>
      </c>
      <c r="T43">
        <v>0</v>
      </c>
      <c r="U43">
        <v>0</v>
      </c>
      <c r="V43">
        <v>0</v>
      </c>
      <c r="W43">
        <v>0</v>
      </c>
      <c r="X43" s="12">
        <v>78</v>
      </c>
      <c r="Y43">
        <v>0</v>
      </c>
      <c r="Z43" t="b">
        <v>0</v>
      </c>
      <c r="AB43" s="14" t="s">
        <v>349</v>
      </c>
      <c r="AC43">
        <v>1</v>
      </c>
      <c r="AD43">
        <v>0</v>
      </c>
      <c r="AE43" t="b">
        <v>0</v>
      </c>
      <c r="AF43">
        <v>0</v>
      </c>
      <c r="AG43">
        <v>1</v>
      </c>
      <c r="AH43" s="15" t="s">
        <v>38</v>
      </c>
      <c r="AI43" t="b">
        <v>0</v>
      </c>
      <c r="AJ43">
        <v>0</v>
      </c>
      <c r="AL43" t="str">
        <f t="shared" si="0"/>
        <v>('9827d656-85f9-491b-9b9f-705d70b7b6e6','2025-05-31 08:27:43.267332+00','866dabc4-6501-44d2-a0e5-65da9c45a46e','2025-05-31 08:27:43.267332+00','866dabc4-6501-44d2-a0e5-65da9c45a46e',TRUE,'001','2024-08-06 16:24:00+01',0,FALSE,'Unit1','','2022-04-01 08:27:00+00','2022-04-02 08:27:00+00',FALSE,0,FALSE,78,76,0,0,0,0,78,0,FALSE,'','f04be108-eb7e-470f-9fea-cccc2ffef804',1,0,FALSE,0,1,'4dbc7800-d343-4d6e-ab27-a7706b0cd126',FALSE,0),</v>
      </c>
    </row>
    <row r="44" spans="1:38" x14ac:dyDescent="0.25">
      <c r="A44" t="s">
        <v>407</v>
      </c>
      <c r="B44" t="s">
        <v>213</v>
      </c>
      <c r="C44" t="s">
        <v>0</v>
      </c>
      <c r="D44" t="s">
        <v>213</v>
      </c>
      <c r="E44" t="s">
        <v>0</v>
      </c>
      <c r="F44" t="b">
        <v>1</v>
      </c>
      <c r="G44" s="38" t="s">
        <v>322</v>
      </c>
      <c r="H44" s="39" t="s">
        <v>365</v>
      </c>
      <c r="I44" s="37">
        <v>0</v>
      </c>
      <c r="J44" s="37" t="b">
        <v>0</v>
      </c>
      <c r="K44" s="37" t="s">
        <v>215</v>
      </c>
      <c r="L44" s="37"/>
      <c r="M44" s="37" t="s">
        <v>217</v>
      </c>
      <c r="N44" s="37" t="s">
        <v>218</v>
      </c>
      <c r="O44" s="37" t="b">
        <v>0</v>
      </c>
      <c r="P44" s="37">
        <v>0</v>
      </c>
      <c r="Q44" s="37" t="b">
        <v>0</v>
      </c>
      <c r="R44" s="37">
        <v>78</v>
      </c>
      <c r="S44" s="37">
        <v>76</v>
      </c>
      <c r="T44" s="37">
        <v>0</v>
      </c>
      <c r="U44" s="37">
        <v>0</v>
      </c>
      <c r="V44" s="37">
        <v>0</v>
      </c>
      <c r="W44" s="37">
        <v>0</v>
      </c>
      <c r="X44" s="37">
        <v>78</v>
      </c>
      <c r="Y44" s="37">
        <v>0</v>
      </c>
      <c r="Z44" s="37" t="b">
        <v>0</v>
      </c>
      <c r="AA44" s="37"/>
      <c r="AB44" s="14" t="s">
        <v>349</v>
      </c>
      <c r="AC44" s="37">
        <v>1</v>
      </c>
      <c r="AD44" s="37">
        <v>0</v>
      </c>
      <c r="AE44" s="37" t="b">
        <v>0</v>
      </c>
      <c r="AF44" s="37">
        <v>0</v>
      </c>
      <c r="AG44" s="37">
        <v>1</v>
      </c>
      <c r="AH44" s="37" t="s">
        <v>38</v>
      </c>
      <c r="AI44" s="37" t="b">
        <v>0</v>
      </c>
      <c r="AJ44" s="37">
        <v>0</v>
      </c>
      <c r="AL44" t="str">
        <f t="shared" si="0"/>
        <v>('4b0268e9-2edd-4ab5-b5ee-431a00593d53','2025-05-31 08:27:43.267332+00','866dabc4-6501-44d2-a0e5-65da9c45a46e','2025-05-31 08:27:43.267332+00','866dabc4-6501-44d2-a0e5-65da9c45a46e',TRUE,'001','2024-08-08 16:24:00+01',0,FALSE,'Unit1','','2022-04-01 08:27:00+00','2022-04-02 08:27:00+00',FALSE,0,FALSE,78,76,0,0,0,0,78,0,FALSE,'','f04be108-eb7e-470f-9fea-cccc2ffef804',1,0,FALSE,0,1,'4dbc7800-d343-4d6e-ab27-a7706b0cd126',FALSE,0),</v>
      </c>
    </row>
    <row r="45" spans="1:38" x14ac:dyDescent="0.25">
      <c r="A45" t="s">
        <v>408</v>
      </c>
      <c r="B45" t="s">
        <v>213</v>
      </c>
      <c r="C45" t="s">
        <v>0</v>
      </c>
      <c r="D45" t="s">
        <v>213</v>
      </c>
      <c r="E45" t="s">
        <v>0</v>
      </c>
      <c r="F45" t="b">
        <v>1</v>
      </c>
      <c r="G45" s="38" t="s">
        <v>322</v>
      </c>
      <c r="H45" s="39" t="s">
        <v>366</v>
      </c>
      <c r="I45">
        <v>0</v>
      </c>
      <c r="J45" t="b">
        <v>0</v>
      </c>
      <c r="K45" s="13" t="s">
        <v>215</v>
      </c>
      <c r="M45" t="s">
        <v>217</v>
      </c>
      <c r="N45" t="s">
        <v>218</v>
      </c>
      <c r="O45" t="b">
        <v>0</v>
      </c>
      <c r="P45">
        <v>0</v>
      </c>
      <c r="Q45" t="b">
        <v>0</v>
      </c>
      <c r="R45" s="12">
        <v>78</v>
      </c>
      <c r="S45" s="12">
        <v>76</v>
      </c>
      <c r="T45">
        <v>0</v>
      </c>
      <c r="U45">
        <v>0</v>
      </c>
      <c r="V45">
        <v>0</v>
      </c>
      <c r="W45">
        <v>0</v>
      </c>
      <c r="X45" s="12">
        <v>78</v>
      </c>
      <c r="Y45">
        <v>0</v>
      </c>
      <c r="Z45" t="b">
        <v>0</v>
      </c>
      <c r="AB45" s="14" t="s">
        <v>349</v>
      </c>
      <c r="AC45">
        <v>1</v>
      </c>
      <c r="AD45">
        <v>0</v>
      </c>
      <c r="AE45" t="b">
        <v>0</v>
      </c>
      <c r="AF45">
        <v>0</v>
      </c>
      <c r="AG45">
        <v>1</v>
      </c>
      <c r="AH45" s="15" t="s">
        <v>38</v>
      </c>
      <c r="AI45" t="b">
        <v>0</v>
      </c>
      <c r="AJ45">
        <v>0</v>
      </c>
      <c r="AL45" t="str">
        <f t="shared" si="0"/>
        <v>('f9e9ecad-3fc7-4d72-ab42-d2408ece21e8','2025-05-31 08:27:43.267332+00','866dabc4-6501-44d2-a0e5-65da9c45a46e','2025-05-31 08:27:43.267332+00','866dabc4-6501-44d2-a0e5-65da9c45a46e',TRUE,'001','2024-08-10 16:24:00+01',0,FALSE,'Unit1','','2022-04-01 08:27:00+00','2022-04-02 08:27:00+00',FALSE,0,FALSE,78,76,0,0,0,0,78,0,FALSE,'','f04be108-eb7e-470f-9fea-cccc2ffef804',1,0,FALSE,0,1,'4dbc7800-d343-4d6e-ab27-a7706b0cd126',FALSE,0),</v>
      </c>
    </row>
    <row r="46" spans="1:38" x14ac:dyDescent="0.25">
      <c r="A46" t="s">
        <v>409</v>
      </c>
      <c r="B46" t="s">
        <v>213</v>
      </c>
      <c r="C46" t="s">
        <v>0</v>
      </c>
      <c r="D46" t="s">
        <v>213</v>
      </c>
      <c r="E46" t="s">
        <v>0</v>
      </c>
      <c r="F46" t="b">
        <v>1</v>
      </c>
      <c r="G46" s="38" t="s">
        <v>322</v>
      </c>
      <c r="H46" s="39" t="s">
        <v>367</v>
      </c>
      <c r="I46">
        <v>0</v>
      </c>
      <c r="J46" t="b">
        <v>0</v>
      </c>
      <c r="K46" s="13" t="s">
        <v>215</v>
      </c>
      <c r="M46" t="s">
        <v>217</v>
      </c>
      <c r="N46" t="s">
        <v>218</v>
      </c>
      <c r="O46" t="b">
        <v>0</v>
      </c>
      <c r="P46">
        <v>0</v>
      </c>
      <c r="Q46" t="b">
        <v>0</v>
      </c>
      <c r="R46" s="12">
        <v>78</v>
      </c>
      <c r="S46" s="12">
        <v>76</v>
      </c>
      <c r="T46">
        <v>0</v>
      </c>
      <c r="U46">
        <v>0</v>
      </c>
      <c r="V46">
        <v>0</v>
      </c>
      <c r="W46">
        <v>0</v>
      </c>
      <c r="X46" s="12">
        <v>78</v>
      </c>
      <c r="Y46">
        <v>0</v>
      </c>
      <c r="Z46" t="b">
        <v>0</v>
      </c>
      <c r="AB46" s="14" t="s">
        <v>349</v>
      </c>
      <c r="AC46">
        <v>1</v>
      </c>
      <c r="AD46">
        <v>0</v>
      </c>
      <c r="AE46" t="b">
        <v>0</v>
      </c>
      <c r="AF46">
        <v>0</v>
      </c>
      <c r="AG46">
        <v>1</v>
      </c>
      <c r="AH46" s="15" t="s">
        <v>38</v>
      </c>
      <c r="AI46" t="b">
        <v>0</v>
      </c>
      <c r="AJ46">
        <v>0</v>
      </c>
      <c r="AL46" t="str">
        <f t="shared" si="0"/>
        <v>('ce3f7c59-404f-4afa-9f13-b4da8f6c5dec','2025-05-31 08:27:43.267332+00','866dabc4-6501-44d2-a0e5-65da9c45a46e','2025-05-31 08:27:43.267332+00','866dabc4-6501-44d2-a0e5-65da9c45a46e',TRUE,'001','2024-08-13 16:24:00+02',0,FALSE,'Unit1','','2022-04-01 08:27:00+00','2022-04-02 08:27:00+00',FALSE,0,FALSE,78,76,0,0,0,0,78,0,FALSE,'','f04be108-eb7e-470f-9fea-cccc2ffef804',1,0,FALSE,0,1,'4dbc7800-d343-4d6e-ab27-a7706b0cd126',FALSE,0),</v>
      </c>
    </row>
    <row r="47" spans="1:38" x14ac:dyDescent="0.25">
      <c r="A47" t="s">
        <v>410</v>
      </c>
      <c r="B47" t="s">
        <v>213</v>
      </c>
      <c r="C47" t="s">
        <v>0</v>
      </c>
      <c r="D47" t="s">
        <v>213</v>
      </c>
      <c r="E47" t="s">
        <v>0</v>
      </c>
      <c r="F47" t="b">
        <v>1</v>
      </c>
      <c r="G47" s="38" t="s">
        <v>322</v>
      </c>
      <c r="H47" s="39" t="s">
        <v>368</v>
      </c>
      <c r="I47">
        <v>0</v>
      </c>
      <c r="J47" t="b">
        <v>0</v>
      </c>
      <c r="K47" s="13" t="s">
        <v>215</v>
      </c>
      <c r="M47" t="s">
        <v>217</v>
      </c>
      <c r="N47" t="s">
        <v>218</v>
      </c>
      <c r="O47" t="b">
        <v>0</v>
      </c>
      <c r="P47">
        <v>0</v>
      </c>
      <c r="Q47" t="b">
        <v>0</v>
      </c>
      <c r="R47" s="12">
        <v>78</v>
      </c>
      <c r="S47" s="12">
        <v>76</v>
      </c>
      <c r="T47">
        <v>0</v>
      </c>
      <c r="U47">
        <v>0</v>
      </c>
      <c r="V47">
        <v>0</v>
      </c>
      <c r="W47">
        <v>0</v>
      </c>
      <c r="X47" s="12">
        <v>78</v>
      </c>
      <c r="Y47">
        <v>0</v>
      </c>
      <c r="Z47" t="b">
        <v>0</v>
      </c>
      <c r="AB47" s="14" t="s">
        <v>349</v>
      </c>
      <c r="AC47">
        <v>1</v>
      </c>
      <c r="AD47">
        <v>0</v>
      </c>
      <c r="AE47" t="b">
        <v>0</v>
      </c>
      <c r="AF47">
        <v>0</v>
      </c>
      <c r="AG47">
        <v>1</v>
      </c>
      <c r="AH47" s="15" t="s">
        <v>38</v>
      </c>
      <c r="AI47" t="b">
        <v>0</v>
      </c>
      <c r="AJ47">
        <v>0</v>
      </c>
      <c r="AL47" t="str">
        <f t="shared" si="0"/>
        <v>('e526aeee-b439-424e-bb7e-9567b919d19a','2025-05-31 08:27:43.267332+00','866dabc4-6501-44d2-a0e5-65da9c45a46e','2025-05-31 08:27:43.267332+00','866dabc4-6501-44d2-a0e5-65da9c45a46e',TRUE,'001','2024-08-15 16:24:00+02',0,FALSE,'Unit1','','2022-04-01 08:27:00+00','2022-04-02 08:27:00+00',FALSE,0,FALSE,78,76,0,0,0,0,78,0,FALSE,'','f04be108-eb7e-470f-9fea-cccc2ffef804',1,0,FALSE,0,1,'4dbc7800-d343-4d6e-ab27-a7706b0cd126',FALSE,0),</v>
      </c>
    </row>
    <row r="48" spans="1:38" x14ac:dyDescent="0.25">
      <c r="A48" t="s">
        <v>411</v>
      </c>
      <c r="B48" t="s">
        <v>213</v>
      </c>
      <c r="C48" t="s">
        <v>0</v>
      </c>
      <c r="D48" t="s">
        <v>213</v>
      </c>
      <c r="E48" t="s">
        <v>0</v>
      </c>
      <c r="F48" t="b">
        <v>1</v>
      </c>
      <c r="G48" s="38" t="s">
        <v>322</v>
      </c>
      <c r="H48" s="39" t="s">
        <v>369</v>
      </c>
      <c r="I48">
        <v>0</v>
      </c>
      <c r="J48" t="b">
        <v>0</v>
      </c>
      <c r="K48" s="13" t="s">
        <v>215</v>
      </c>
      <c r="M48" t="s">
        <v>217</v>
      </c>
      <c r="N48" t="s">
        <v>218</v>
      </c>
      <c r="O48" t="b">
        <v>0</v>
      </c>
      <c r="P48">
        <v>0</v>
      </c>
      <c r="Q48" t="b">
        <v>0</v>
      </c>
      <c r="R48" s="12">
        <v>78</v>
      </c>
      <c r="S48" s="12">
        <v>76</v>
      </c>
      <c r="T48">
        <v>0</v>
      </c>
      <c r="U48">
        <v>0</v>
      </c>
      <c r="V48">
        <v>0</v>
      </c>
      <c r="W48">
        <v>0</v>
      </c>
      <c r="X48" s="12">
        <v>78</v>
      </c>
      <c r="Y48">
        <v>0</v>
      </c>
      <c r="Z48" t="b">
        <v>0</v>
      </c>
      <c r="AB48" s="14" t="s">
        <v>349</v>
      </c>
      <c r="AC48">
        <v>1</v>
      </c>
      <c r="AD48">
        <v>0</v>
      </c>
      <c r="AE48" t="b">
        <v>0</v>
      </c>
      <c r="AF48">
        <v>0</v>
      </c>
      <c r="AG48">
        <v>1</v>
      </c>
      <c r="AH48" s="15" t="s">
        <v>38</v>
      </c>
      <c r="AI48" t="b">
        <v>0</v>
      </c>
      <c r="AJ48">
        <v>0</v>
      </c>
      <c r="AL48" t="str">
        <f t="shared" si="0"/>
        <v>('a11b1186-99de-4a10-a354-ed67deadf3a8','2025-05-31 08:27:43.267332+00','866dabc4-6501-44d2-a0e5-65da9c45a46e','2025-05-31 08:27:43.267332+00','866dabc4-6501-44d2-a0e5-65da9c45a46e',TRUE,'001','2024-08-17 16:24:00+02',0,FALSE,'Unit1','','2022-04-01 08:27:00+00','2022-04-02 08:27:00+00',FALSE,0,FALSE,78,76,0,0,0,0,78,0,FALSE,'','f04be108-eb7e-470f-9fea-cccc2ffef804',1,0,FALSE,0,1,'4dbc7800-d343-4d6e-ab27-a7706b0cd126',FALSE,0),</v>
      </c>
    </row>
    <row r="49" spans="1:38" x14ac:dyDescent="0.25">
      <c r="A49" t="s">
        <v>412</v>
      </c>
      <c r="B49" t="s">
        <v>213</v>
      </c>
      <c r="C49" t="s">
        <v>0</v>
      </c>
      <c r="D49" t="s">
        <v>213</v>
      </c>
      <c r="E49" t="s">
        <v>0</v>
      </c>
      <c r="F49" t="b">
        <v>1</v>
      </c>
      <c r="G49" s="38" t="s">
        <v>322</v>
      </c>
      <c r="H49" s="39" t="s">
        <v>370</v>
      </c>
      <c r="I49" s="37">
        <v>0</v>
      </c>
      <c r="J49" s="37" t="b">
        <v>0</v>
      </c>
      <c r="K49" s="37" t="s">
        <v>215</v>
      </c>
      <c r="L49" s="37"/>
      <c r="M49" s="37" t="s">
        <v>217</v>
      </c>
      <c r="N49" s="37" t="s">
        <v>218</v>
      </c>
      <c r="O49" s="37" t="b">
        <v>0</v>
      </c>
      <c r="P49" s="37">
        <v>0</v>
      </c>
      <c r="Q49" s="37" t="b">
        <v>0</v>
      </c>
      <c r="R49" s="37">
        <v>78</v>
      </c>
      <c r="S49" s="37">
        <v>76</v>
      </c>
      <c r="T49" s="37">
        <v>0</v>
      </c>
      <c r="U49" s="37">
        <v>0</v>
      </c>
      <c r="V49" s="37">
        <v>0</v>
      </c>
      <c r="W49" s="37">
        <v>0</v>
      </c>
      <c r="X49" s="37">
        <v>78</v>
      </c>
      <c r="Y49" s="37">
        <v>0</v>
      </c>
      <c r="Z49" s="37" t="b">
        <v>0</v>
      </c>
      <c r="AA49" s="37"/>
      <c r="AB49" s="14" t="s">
        <v>349</v>
      </c>
      <c r="AC49" s="37">
        <v>1</v>
      </c>
      <c r="AD49" s="37">
        <v>0</v>
      </c>
      <c r="AE49" s="37" t="b">
        <v>0</v>
      </c>
      <c r="AF49" s="37">
        <v>0</v>
      </c>
      <c r="AG49" s="37">
        <v>1</v>
      </c>
      <c r="AH49" s="37" t="s">
        <v>38</v>
      </c>
      <c r="AI49" s="37" t="b">
        <v>0</v>
      </c>
      <c r="AJ49" s="37">
        <v>0</v>
      </c>
      <c r="AL49" t="str">
        <f t="shared" si="0"/>
        <v>('35a877fd-370b-4ee9-bfb4-fae8d0f81ea7','2025-05-31 08:27:43.267332+00','866dabc4-6501-44d2-a0e5-65da9c45a46e','2025-05-31 08:27:43.267332+00','866dabc4-6501-44d2-a0e5-65da9c45a46e',TRUE,'001','2024-08-20 16:24:00+03',0,FALSE,'Unit1','','2022-04-01 08:27:00+00','2022-04-02 08:27:00+00',FALSE,0,FALSE,78,76,0,0,0,0,78,0,FALSE,'','f04be108-eb7e-470f-9fea-cccc2ffef804',1,0,FALSE,0,1,'4dbc7800-d343-4d6e-ab27-a7706b0cd126',FALSE,0),</v>
      </c>
    </row>
    <row r="50" spans="1:38" x14ac:dyDescent="0.25">
      <c r="A50" t="s">
        <v>413</v>
      </c>
      <c r="B50" t="s">
        <v>213</v>
      </c>
      <c r="C50" t="s">
        <v>0</v>
      </c>
      <c r="D50" t="s">
        <v>213</v>
      </c>
      <c r="E50" t="s">
        <v>0</v>
      </c>
      <c r="F50" t="b">
        <v>1</v>
      </c>
      <c r="G50" s="38" t="s">
        <v>322</v>
      </c>
      <c r="H50" s="39" t="s">
        <v>371</v>
      </c>
      <c r="I50">
        <v>0</v>
      </c>
      <c r="J50" t="b">
        <v>0</v>
      </c>
      <c r="K50" s="13" t="s">
        <v>215</v>
      </c>
      <c r="M50" t="s">
        <v>217</v>
      </c>
      <c r="N50" t="s">
        <v>218</v>
      </c>
      <c r="O50" t="b">
        <v>0</v>
      </c>
      <c r="P50">
        <v>0</v>
      </c>
      <c r="Q50" t="b">
        <v>0</v>
      </c>
      <c r="R50" s="12">
        <v>78</v>
      </c>
      <c r="S50" s="12">
        <v>76</v>
      </c>
      <c r="T50">
        <v>0</v>
      </c>
      <c r="U50">
        <v>0</v>
      </c>
      <c r="V50">
        <v>0</v>
      </c>
      <c r="W50">
        <v>0</v>
      </c>
      <c r="X50" s="12">
        <v>78</v>
      </c>
      <c r="Y50">
        <v>0</v>
      </c>
      <c r="Z50" t="b">
        <v>0</v>
      </c>
      <c r="AB50" s="14" t="s">
        <v>349</v>
      </c>
      <c r="AC50">
        <v>1</v>
      </c>
      <c r="AD50">
        <v>0</v>
      </c>
      <c r="AE50" t="b">
        <v>0</v>
      </c>
      <c r="AF50">
        <v>0</v>
      </c>
      <c r="AG50">
        <v>1</v>
      </c>
      <c r="AH50" s="15" t="s">
        <v>38</v>
      </c>
      <c r="AI50" t="b">
        <v>0</v>
      </c>
      <c r="AJ50">
        <v>0</v>
      </c>
      <c r="AL50" t="str">
        <f t="shared" si="0"/>
        <v>('1d3d8b65-12f2-425b-92b7-2a7a04b0ba09','2025-05-31 08:27:43.267332+00','866dabc4-6501-44d2-a0e5-65da9c45a46e','2025-05-31 08:27:43.267332+00','866dabc4-6501-44d2-a0e5-65da9c45a46e',TRUE,'001','2024-08-22 16:24:00+03',0,FALSE,'Unit1','','2022-04-01 08:27:00+00','2022-04-02 08:27:00+00',FALSE,0,FALSE,78,76,0,0,0,0,78,0,FALSE,'','f04be108-eb7e-470f-9fea-cccc2ffef804',1,0,FALSE,0,1,'4dbc7800-d343-4d6e-ab27-a7706b0cd126',FALSE,0),</v>
      </c>
    </row>
    <row r="51" spans="1:38" x14ac:dyDescent="0.25">
      <c r="A51" t="s">
        <v>414</v>
      </c>
      <c r="B51" t="s">
        <v>213</v>
      </c>
      <c r="C51" t="s">
        <v>0</v>
      </c>
      <c r="D51" t="s">
        <v>213</v>
      </c>
      <c r="E51" t="s">
        <v>0</v>
      </c>
      <c r="F51" t="b">
        <v>1</v>
      </c>
      <c r="G51" s="38" t="s">
        <v>322</v>
      </c>
      <c r="H51" s="39" t="s">
        <v>372</v>
      </c>
      <c r="I51">
        <v>0</v>
      </c>
      <c r="J51" t="b">
        <v>0</v>
      </c>
      <c r="K51" s="13" t="s">
        <v>215</v>
      </c>
      <c r="M51" t="s">
        <v>217</v>
      </c>
      <c r="N51" t="s">
        <v>218</v>
      </c>
      <c r="O51" t="b">
        <v>0</v>
      </c>
      <c r="P51">
        <v>0</v>
      </c>
      <c r="Q51" t="b">
        <v>0</v>
      </c>
      <c r="R51" s="12">
        <v>78</v>
      </c>
      <c r="S51" s="12">
        <v>76</v>
      </c>
      <c r="T51">
        <v>0</v>
      </c>
      <c r="U51">
        <v>0</v>
      </c>
      <c r="V51">
        <v>0</v>
      </c>
      <c r="W51">
        <v>0</v>
      </c>
      <c r="X51" s="12">
        <v>78</v>
      </c>
      <c r="Y51">
        <v>0</v>
      </c>
      <c r="Z51" t="b">
        <v>0</v>
      </c>
      <c r="AB51" s="14" t="s">
        <v>349</v>
      </c>
      <c r="AC51">
        <v>1</v>
      </c>
      <c r="AD51">
        <v>0</v>
      </c>
      <c r="AE51" t="b">
        <v>0</v>
      </c>
      <c r="AF51">
        <v>0</v>
      </c>
      <c r="AG51">
        <v>1</v>
      </c>
      <c r="AH51" s="15" t="s">
        <v>38</v>
      </c>
      <c r="AI51" t="b">
        <v>0</v>
      </c>
      <c r="AJ51">
        <v>0</v>
      </c>
      <c r="AL51" t="str">
        <f t="shared" si="0"/>
        <v>('04e1d5bb-4d21-464a-83f1-a7c178df0370','2025-05-31 08:27:43.267332+00','866dabc4-6501-44d2-a0e5-65da9c45a46e','2025-05-31 08:27:43.267332+00','866dabc4-6501-44d2-a0e5-65da9c45a46e',TRUE,'001','2024-08-24 16:24:00+03',0,FALSE,'Unit1','','2022-04-01 08:27:00+00','2022-04-02 08:27:00+00',FALSE,0,FALSE,78,76,0,0,0,0,78,0,FALSE,'','f04be108-eb7e-470f-9fea-cccc2ffef804',1,0,FALSE,0,1,'4dbc7800-d343-4d6e-ab27-a7706b0cd126',FALSE,0),</v>
      </c>
    </row>
    <row r="52" spans="1:38" x14ac:dyDescent="0.25">
      <c r="A52" t="s">
        <v>415</v>
      </c>
      <c r="B52" t="s">
        <v>213</v>
      </c>
      <c r="C52" t="s">
        <v>0</v>
      </c>
      <c r="D52" t="s">
        <v>213</v>
      </c>
      <c r="E52" t="s">
        <v>0</v>
      </c>
      <c r="F52" t="b">
        <v>1</v>
      </c>
      <c r="G52" s="38" t="s">
        <v>322</v>
      </c>
      <c r="H52" s="39" t="s">
        <v>373</v>
      </c>
      <c r="I52">
        <v>0</v>
      </c>
      <c r="J52" t="b">
        <v>0</v>
      </c>
      <c r="K52" s="13" t="s">
        <v>215</v>
      </c>
      <c r="M52" t="s">
        <v>217</v>
      </c>
      <c r="N52" t="s">
        <v>218</v>
      </c>
      <c r="O52" t="b">
        <v>0</v>
      </c>
      <c r="P52">
        <v>0</v>
      </c>
      <c r="Q52" t="b">
        <v>0</v>
      </c>
      <c r="R52" s="12">
        <v>78</v>
      </c>
      <c r="S52" s="12">
        <v>76</v>
      </c>
      <c r="T52">
        <v>0</v>
      </c>
      <c r="U52">
        <v>0</v>
      </c>
      <c r="V52">
        <v>0</v>
      </c>
      <c r="W52">
        <v>0</v>
      </c>
      <c r="X52" s="12">
        <v>78</v>
      </c>
      <c r="Y52">
        <v>0</v>
      </c>
      <c r="Z52" t="b">
        <v>0</v>
      </c>
      <c r="AB52" s="14" t="s">
        <v>349</v>
      </c>
      <c r="AC52">
        <v>1</v>
      </c>
      <c r="AD52">
        <v>0</v>
      </c>
      <c r="AE52" t="b">
        <v>0</v>
      </c>
      <c r="AF52">
        <v>0</v>
      </c>
      <c r="AG52">
        <v>1</v>
      </c>
      <c r="AH52" s="15" t="s">
        <v>38</v>
      </c>
      <c r="AI52" t="b">
        <v>0</v>
      </c>
      <c r="AJ52">
        <v>0</v>
      </c>
      <c r="AL52" t="str">
        <f t="shared" si="0"/>
        <v>('e09cd7a4-f191-4709-955f-d1a08409c6d3','2025-05-31 08:27:43.267332+00','866dabc4-6501-44d2-a0e5-65da9c45a46e','2025-05-31 08:27:43.267332+00','866dabc4-6501-44d2-a0e5-65da9c45a46e',TRUE,'001','2024-08-27 16:24:00+04',0,FALSE,'Unit1','','2022-04-01 08:27:00+00','2022-04-02 08:27:00+00',FALSE,0,FALSE,78,76,0,0,0,0,78,0,FALSE,'','f04be108-eb7e-470f-9fea-cccc2ffef804',1,0,FALSE,0,1,'4dbc7800-d343-4d6e-ab27-a7706b0cd126',FALSE,0),</v>
      </c>
    </row>
    <row r="53" spans="1:38" x14ac:dyDescent="0.25">
      <c r="A53" t="s">
        <v>416</v>
      </c>
      <c r="B53" t="s">
        <v>213</v>
      </c>
      <c r="C53" t="s">
        <v>0</v>
      </c>
      <c r="D53" t="s">
        <v>213</v>
      </c>
      <c r="E53" t="s">
        <v>0</v>
      </c>
      <c r="F53" t="b">
        <v>1</v>
      </c>
      <c r="G53" s="38" t="s">
        <v>322</v>
      </c>
      <c r="H53" s="39" t="s">
        <v>374</v>
      </c>
      <c r="I53">
        <v>0</v>
      </c>
      <c r="J53" t="b">
        <v>0</v>
      </c>
      <c r="K53" s="13" t="s">
        <v>215</v>
      </c>
      <c r="M53" t="s">
        <v>217</v>
      </c>
      <c r="N53" t="s">
        <v>218</v>
      </c>
      <c r="O53" t="b">
        <v>0</v>
      </c>
      <c r="P53">
        <v>0</v>
      </c>
      <c r="Q53" t="b">
        <v>0</v>
      </c>
      <c r="R53" s="12">
        <v>78</v>
      </c>
      <c r="S53" s="12">
        <v>76</v>
      </c>
      <c r="T53">
        <v>0</v>
      </c>
      <c r="U53">
        <v>0</v>
      </c>
      <c r="V53">
        <v>0</v>
      </c>
      <c r="W53">
        <v>0</v>
      </c>
      <c r="X53" s="12">
        <v>78</v>
      </c>
      <c r="Y53">
        <v>0</v>
      </c>
      <c r="Z53" t="b">
        <v>0</v>
      </c>
      <c r="AB53" s="14" t="s">
        <v>349</v>
      </c>
      <c r="AC53">
        <v>1</v>
      </c>
      <c r="AD53">
        <v>0</v>
      </c>
      <c r="AE53" t="b">
        <v>0</v>
      </c>
      <c r="AF53">
        <v>0</v>
      </c>
      <c r="AG53">
        <v>1</v>
      </c>
      <c r="AH53" s="15" t="s">
        <v>38</v>
      </c>
      <c r="AI53" t="b">
        <v>0</v>
      </c>
      <c r="AJ53">
        <v>0</v>
      </c>
      <c r="AL53" t="str">
        <f t="shared" si="0"/>
        <v>('5dfdf989-4afe-44f3-868c-0563e349e3ab','2025-05-31 08:27:43.267332+00','866dabc4-6501-44d2-a0e5-65da9c45a46e','2025-05-31 08:27:43.267332+00','866dabc4-6501-44d2-a0e5-65da9c45a46e',TRUE,'001','2024-08-29 16:24:00+04',0,FALSE,'Unit1','','2022-04-01 08:27:00+00','2022-04-02 08:27:00+00',FALSE,0,FALSE,78,76,0,0,0,0,78,0,FALSE,'','f04be108-eb7e-470f-9fea-cccc2ffef804',1,0,FALSE,0,1,'4dbc7800-d343-4d6e-ab27-a7706b0cd126',FALSE,0),</v>
      </c>
    </row>
    <row r="54" spans="1:38" x14ac:dyDescent="0.25">
      <c r="A54" t="s">
        <v>417</v>
      </c>
      <c r="B54" t="s">
        <v>213</v>
      </c>
      <c r="C54" t="s">
        <v>0</v>
      </c>
      <c r="D54" t="s">
        <v>213</v>
      </c>
      <c r="E54" t="s">
        <v>0</v>
      </c>
      <c r="F54" t="b">
        <v>1</v>
      </c>
      <c r="G54" s="38" t="s">
        <v>322</v>
      </c>
      <c r="H54" s="39" t="s">
        <v>375</v>
      </c>
      <c r="I54" s="37">
        <v>0</v>
      </c>
      <c r="J54" s="37" t="b">
        <v>0</v>
      </c>
      <c r="K54" s="37" t="s">
        <v>215</v>
      </c>
      <c r="L54" s="37"/>
      <c r="M54" s="37" t="s">
        <v>217</v>
      </c>
      <c r="N54" s="37" t="s">
        <v>218</v>
      </c>
      <c r="O54" s="37" t="b">
        <v>0</v>
      </c>
      <c r="P54" s="37">
        <v>0</v>
      </c>
      <c r="Q54" s="37" t="b">
        <v>0</v>
      </c>
      <c r="R54" s="37">
        <v>78</v>
      </c>
      <c r="S54" s="37">
        <v>76</v>
      </c>
      <c r="T54" s="37">
        <v>0</v>
      </c>
      <c r="U54" s="37">
        <v>0</v>
      </c>
      <c r="V54" s="37">
        <v>0</v>
      </c>
      <c r="W54" s="37">
        <v>0</v>
      </c>
      <c r="X54" s="37">
        <v>78</v>
      </c>
      <c r="Y54" s="37">
        <v>0</v>
      </c>
      <c r="Z54" s="37" t="b">
        <v>0</v>
      </c>
      <c r="AA54" s="37"/>
      <c r="AB54" s="14" t="s">
        <v>349</v>
      </c>
      <c r="AC54" s="37">
        <v>1</v>
      </c>
      <c r="AD54" s="37">
        <v>0</v>
      </c>
      <c r="AE54" s="37" t="b">
        <v>0</v>
      </c>
      <c r="AF54" s="37">
        <v>0</v>
      </c>
      <c r="AG54" s="37">
        <v>1</v>
      </c>
      <c r="AH54" s="37" t="s">
        <v>38</v>
      </c>
      <c r="AI54" s="37" t="b">
        <v>0</v>
      </c>
      <c r="AJ54" s="37">
        <v>0</v>
      </c>
      <c r="AL54" t="str">
        <f t="shared" si="0"/>
        <v>('b7b4245a-fe7c-42be-baeb-54db5adf7d66','2025-05-31 08:27:43.267332+00','866dabc4-6501-44d2-a0e5-65da9c45a46e','2025-05-31 08:27:43.267332+00','866dabc4-6501-44d2-a0e5-65da9c45a46e',TRUE,'001','2024-08-31 16:24:00+04',0,FALSE,'Unit1','','2022-04-01 08:27:00+00','2022-04-02 08:27:00+00',FALSE,0,FALSE,78,76,0,0,0,0,78,0,FALSE,'','f04be108-eb7e-470f-9fea-cccc2ffef804',1,0,FALSE,0,1,'4dbc7800-d343-4d6e-ab27-a7706b0cd126',FALSE,0),</v>
      </c>
    </row>
    <row r="55" spans="1:38" x14ac:dyDescent="0.25">
      <c r="A55" t="s">
        <v>418</v>
      </c>
      <c r="B55" t="s">
        <v>213</v>
      </c>
      <c r="C55" t="s">
        <v>0</v>
      </c>
      <c r="D55" t="s">
        <v>213</v>
      </c>
      <c r="E55" t="s">
        <v>0</v>
      </c>
      <c r="F55" t="b">
        <v>1</v>
      </c>
      <c r="G55" s="38" t="s">
        <v>322</v>
      </c>
      <c r="H55" s="39" t="s">
        <v>376</v>
      </c>
      <c r="I55">
        <v>0</v>
      </c>
      <c r="J55" t="b">
        <v>0</v>
      </c>
      <c r="K55" s="13" t="s">
        <v>215</v>
      </c>
      <c r="M55" t="s">
        <v>217</v>
      </c>
      <c r="N55" t="s">
        <v>218</v>
      </c>
      <c r="O55" t="b">
        <v>0</v>
      </c>
      <c r="P55">
        <v>0</v>
      </c>
      <c r="Q55" t="b">
        <v>0</v>
      </c>
      <c r="R55" s="12">
        <v>78</v>
      </c>
      <c r="S55" s="12">
        <v>76</v>
      </c>
      <c r="T55">
        <v>0</v>
      </c>
      <c r="U55">
        <v>0</v>
      </c>
      <c r="V55">
        <v>0</v>
      </c>
      <c r="W55">
        <v>0</v>
      </c>
      <c r="X55" s="12">
        <v>78</v>
      </c>
      <c r="Y55">
        <v>0</v>
      </c>
      <c r="Z55" t="b">
        <v>0</v>
      </c>
      <c r="AB55" s="14" t="s">
        <v>349</v>
      </c>
      <c r="AC55">
        <v>1</v>
      </c>
      <c r="AD55">
        <v>0</v>
      </c>
      <c r="AE55" t="b">
        <v>0</v>
      </c>
      <c r="AF55">
        <v>0</v>
      </c>
      <c r="AG55">
        <v>1</v>
      </c>
      <c r="AH55" s="15" t="s">
        <v>38</v>
      </c>
      <c r="AI55" t="b">
        <v>0</v>
      </c>
      <c r="AJ55">
        <v>0</v>
      </c>
      <c r="AL55" t="str">
        <f t="shared" si="0"/>
        <v>('efd15579-d91d-44c4-8db9-4d83f9bdbf34','2025-05-31 08:27:43.267332+00','866dabc4-6501-44d2-a0e5-65da9c45a46e','2025-05-31 08:27:43.267332+00','866dabc4-6501-44d2-a0e5-65da9c45a46e',TRUE,'001','2024-09-03 16:24:00+00',0,FALSE,'Unit1','','2022-04-01 08:27:00+00','2022-04-02 08:27:00+00',FALSE,0,FALSE,78,76,0,0,0,0,78,0,FALSE,'','f04be108-eb7e-470f-9fea-cccc2ffef804',1,0,FALSE,0,1,'4dbc7800-d343-4d6e-ab27-a7706b0cd126',FALSE,0),</v>
      </c>
    </row>
    <row r="56" spans="1:38" x14ac:dyDescent="0.25">
      <c r="A56" t="s">
        <v>419</v>
      </c>
      <c r="B56" t="s">
        <v>213</v>
      </c>
      <c r="C56" t="s">
        <v>0</v>
      </c>
      <c r="D56" t="s">
        <v>213</v>
      </c>
      <c r="E56" t="s">
        <v>0</v>
      </c>
      <c r="F56" t="b">
        <v>1</v>
      </c>
      <c r="G56" s="38" t="s">
        <v>322</v>
      </c>
      <c r="H56" s="39" t="s">
        <v>377</v>
      </c>
      <c r="I56">
        <v>0</v>
      </c>
      <c r="J56" t="b">
        <v>0</v>
      </c>
      <c r="K56" s="13" t="s">
        <v>215</v>
      </c>
      <c r="M56" t="s">
        <v>217</v>
      </c>
      <c r="N56" t="s">
        <v>218</v>
      </c>
      <c r="O56" t="b">
        <v>0</v>
      </c>
      <c r="P56">
        <v>0</v>
      </c>
      <c r="Q56" t="b">
        <v>0</v>
      </c>
      <c r="R56" s="12">
        <v>78</v>
      </c>
      <c r="S56" s="12">
        <v>76</v>
      </c>
      <c r="T56">
        <v>0</v>
      </c>
      <c r="U56">
        <v>0</v>
      </c>
      <c r="V56">
        <v>0</v>
      </c>
      <c r="W56">
        <v>0</v>
      </c>
      <c r="X56" s="12">
        <v>78</v>
      </c>
      <c r="Y56">
        <v>0</v>
      </c>
      <c r="Z56" t="b">
        <v>0</v>
      </c>
      <c r="AB56" s="14" t="s">
        <v>349</v>
      </c>
      <c r="AC56">
        <v>1</v>
      </c>
      <c r="AD56">
        <v>0</v>
      </c>
      <c r="AE56" t="b">
        <v>0</v>
      </c>
      <c r="AF56">
        <v>0</v>
      </c>
      <c r="AG56">
        <v>1</v>
      </c>
      <c r="AH56" s="15" t="s">
        <v>38</v>
      </c>
      <c r="AI56" t="b">
        <v>0</v>
      </c>
      <c r="AJ56">
        <v>0</v>
      </c>
      <c r="AL56" t="str">
        <f t="shared" si="0"/>
        <v>('72ce7e62-71dc-4d5d-a8a5-9eda04222611','2025-05-31 08:27:43.267332+00','866dabc4-6501-44d2-a0e5-65da9c45a46e','2025-05-31 08:27:43.267332+00','866dabc4-6501-44d2-a0e5-65da9c45a46e',TRUE,'001','2024-09-05 16:24:00+00',0,FALSE,'Unit1','','2022-04-01 08:27:00+00','2022-04-02 08:27:00+00',FALSE,0,FALSE,78,76,0,0,0,0,78,0,FALSE,'','f04be108-eb7e-470f-9fea-cccc2ffef804',1,0,FALSE,0,1,'4dbc7800-d343-4d6e-ab27-a7706b0cd126',FALSE,0),</v>
      </c>
    </row>
    <row r="57" spans="1:38" x14ac:dyDescent="0.25">
      <c r="A57" t="s">
        <v>420</v>
      </c>
      <c r="B57" t="s">
        <v>213</v>
      </c>
      <c r="C57" t="s">
        <v>0</v>
      </c>
      <c r="D57" t="s">
        <v>213</v>
      </c>
      <c r="E57" t="s">
        <v>0</v>
      </c>
      <c r="F57" t="b">
        <v>1</v>
      </c>
      <c r="G57" s="38" t="s">
        <v>322</v>
      </c>
      <c r="H57" s="39" t="s">
        <v>381</v>
      </c>
      <c r="I57">
        <v>0</v>
      </c>
      <c r="J57" t="b">
        <v>0</v>
      </c>
      <c r="K57" s="13" t="s">
        <v>215</v>
      </c>
      <c r="M57" t="s">
        <v>217</v>
      </c>
      <c r="N57" t="s">
        <v>218</v>
      </c>
      <c r="O57" t="b">
        <v>0</v>
      </c>
      <c r="P57">
        <v>0</v>
      </c>
      <c r="Q57" t="b">
        <v>0</v>
      </c>
      <c r="R57" s="12">
        <v>78</v>
      </c>
      <c r="S57" s="12">
        <v>76</v>
      </c>
      <c r="T57">
        <v>0</v>
      </c>
      <c r="U57">
        <v>0</v>
      </c>
      <c r="V57">
        <v>0</v>
      </c>
      <c r="W57">
        <v>0</v>
      </c>
      <c r="X57" s="12">
        <v>78</v>
      </c>
      <c r="Y57">
        <v>0</v>
      </c>
      <c r="Z57" t="b">
        <v>0</v>
      </c>
      <c r="AB57" s="14" t="s">
        <v>349</v>
      </c>
      <c r="AC57">
        <v>1</v>
      </c>
      <c r="AD57">
        <v>0</v>
      </c>
      <c r="AE57" t="b">
        <v>0</v>
      </c>
      <c r="AF57">
        <v>0</v>
      </c>
      <c r="AG57">
        <v>1</v>
      </c>
      <c r="AH57" s="15" t="s">
        <v>38</v>
      </c>
      <c r="AI57" t="b">
        <v>0</v>
      </c>
      <c r="AJ57">
        <v>0</v>
      </c>
      <c r="AL57" t="str">
        <f t="shared" si="0"/>
        <v>('83504381-69f1-4445-b6ff-0c928b0fdd75','2025-05-31 08:27:43.267332+00','866dabc4-6501-44d2-a0e5-65da9c45a46e','2025-05-31 08:27:43.267332+00','866dabc4-6501-44d2-a0e5-65da9c45a46e',TRUE,'001','2024-09-07 16:24:00+00',0,FALSE,'Unit1','','2022-04-01 08:27:00+00','2022-04-02 08:27:00+00',FALSE,0,FALSE,78,76,0,0,0,0,78,0,FALSE,'','f04be108-eb7e-470f-9fea-cccc2ffef804',1,0,FALSE,0,1,'4dbc7800-d343-4d6e-ab27-a7706b0cd126',FALSE,0),</v>
      </c>
    </row>
    <row r="58" spans="1:38" x14ac:dyDescent="0.25">
      <c r="A58" t="s">
        <v>421</v>
      </c>
      <c r="B58" t="s">
        <v>213</v>
      </c>
      <c r="C58" t="s">
        <v>0</v>
      </c>
      <c r="D58" t="s">
        <v>213</v>
      </c>
      <c r="E58" t="s">
        <v>0</v>
      </c>
      <c r="F58" t="b">
        <v>1</v>
      </c>
      <c r="G58" s="38" t="s">
        <v>322</v>
      </c>
      <c r="H58" s="39" t="s">
        <v>382</v>
      </c>
      <c r="I58">
        <v>0</v>
      </c>
      <c r="J58" t="b">
        <v>0</v>
      </c>
      <c r="K58" s="13" t="s">
        <v>215</v>
      </c>
      <c r="M58" t="s">
        <v>217</v>
      </c>
      <c r="N58" t="s">
        <v>218</v>
      </c>
      <c r="O58" t="b">
        <v>0</v>
      </c>
      <c r="P58">
        <v>0</v>
      </c>
      <c r="Q58" t="b">
        <v>0</v>
      </c>
      <c r="R58" s="12">
        <v>78</v>
      </c>
      <c r="S58" s="12">
        <v>76</v>
      </c>
      <c r="T58">
        <v>0</v>
      </c>
      <c r="U58">
        <v>0</v>
      </c>
      <c r="V58">
        <v>0</v>
      </c>
      <c r="W58">
        <v>0</v>
      </c>
      <c r="X58" s="12">
        <v>78</v>
      </c>
      <c r="Y58">
        <v>0</v>
      </c>
      <c r="Z58" t="b">
        <v>0</v>
      </c>
      <c r="AB58" s="14" t="s">
        <v>349</v>
      </c>
      <c r="AC58">
        <v>1</v>
      </c>
      <c r="AD58">
        <v>0</v>
      </c>
      <c r="AE58" t="b">
        <v>0</v>
      </c>
      <c r="AF58">
        <v>0</v>
      </c>
      <c r="AG58">
        <v>1</v>
      </c>
      <c r="AH58" s="15" t="s">
        <v>38</v>
      </c>
      <c r="AI58" t="b">
        <v>0</v>
      </c>
      <c r="AJ58">
        <v>0</v>
      </c>
      <c r="AL58" t="str">
        <f t="shared" si="0"/>
        <v>('caeb08ff-f3da-4a07-b715-f396d3adcd2e','2025-05-31 08:27:43.267332+00','866dabc4-6501-44d2-a0e5-65da9c45a46e','2025-05-31 08:27:43.267332+00','866dabc4-6501-44d2-a0e5-65da9c45a46e',TRUE,'001','2024-09-10 16:24:00+01',0,FALSE,'Unit1','','2022-04-01 08:27:00+00','2022-04-02 08:27:00+00',FALSE,0,FALSE,78,76,0,0,0,0,78,0,FALSE,'','f04be108-eb7e-470f-9fea-cccc2ffef804',1,0,FALSE,0,1,'4dbc7800-d343-4d6e-ab27-a7706b0cd126',FALSE,0),</v>
      </c>
    </row>
    <row r="59" spans="1:38" x14ac:dyDescent="0.25">
      <c r="A59" t="s">
        <v>422</v>
      </c>
      <c r="B59" t="s">
        <v>213</v>
      </c>
      <c r="C59" t="s">
        <v>0</v>
      </c>
      <c r="D59" t="s">
        <v>213</v>
      </c>
      <c r="E59" t="s">
        <v>0</v>
      </c>
      <c r="F59" t="b">
        <v>1</v>
      </c>
      <c r="G59" s="38" t="s">
        <v>322</v>
      </c>
      <c r="H59" s="39" t="s">
        <v>378</v>
      </c>
      <c r="I59" s="37">
        <v>0</v>
      </c>
      <c r="J59" s="37" t="b">
        <v>0</v>
      </c>
      <c r="K59" s="37" t="s">
        <v>215</v>
      </c>
      <c r="L59" s="37"/>
      <c r="M59" s="37" t="s">
        <v>217</v>
      </c>
      <c r="N59" s="37" t="s">
        <v>218</v>
      </c>
      <c r="O59" s="37" t="b">
        <v>0</v>
      </c>
      <c r="P59" s="37">
        <v>0</v>
      </c>
      <c r="Q59" s="37" t="b">
        <v>0</v>
      </c>
      <c r="R59" s="37">
        <v>78</v>
      </c>
      <c r="S59" s="37">
        <v>76</v>
      </c>
      <c r="T59" s="37">
        <v>0</v>
      </c>
      <c r="U59" s="37">
        <v>0</v>
      </c>
      <c r="V59" s="37">
        <v>0</v>
      </c>
      <c r="W59" s="37">
        <v>0</v>
      </c>
      <c r="X59" s="37">
        <v>78</v>
      </c>
      <c r="Y59" s="37">
        <v>0</v>
      </c>
      <c r="Z59" s="37" t="b">
        <v>0</v>
      </c>
      <c r="AA59" s="37"/>
      <c r="AB59" s="14" t="s">
        <v>349</v>
      </c>
      <c r="AC59" s="37">
        <v>1</v>
      </c>
      <c r="AD59" s="37">
        <v>0</v>
      </c>
      <c r="AE59" s="37" t="b">
        <v>0</v>
      </c>
      <c r="AF59" s="37">
        <v>0</v>
      </c>
      <c r="AG59" s="37">
        <v>1</v>
      </c>
      <c r="AH59" s="37" t="s">
        <v>38</v>
      </c>
      <c r="AI59" s="37" t="b">
        <v>0</v>
      </c>
      <c r="AJ59" s="37">
        <v>0</v>
      </c>
      <c r="AL59" t="str">
        <f t="shared" si="0"/>
        <v>('da742a8a-6e6f-42ef-b33f-6b00e9b5b8d4','2025-05-31 08:27:43.267332+00','866dabc4-6501-44d2-a0e5-65da9c45a46e','2025-05-31 08:27:43.267332+00','866dabc4-6501-44d2-a0e5-65da9c45a46e',TRUE,'001','2024-09-12 16:24:00+01',0,FALSE,'Unit1','','2022-04-01 08:27:00+00','2022-04-02 08:27:00+00',FALSE,0,FALSE,78,76,0,0,0,0,78,0,FALSE,'','f04be108-eb7e-470f-9fea-cccc2ffef804',1,0,FALSE,0,1,'4dbc7800-d343-4d6e-ab27-a7706b0cd126',FALSE,0),</v>
      </c>
    </row>
    <row r="60" spans="1:38" x14ac:dyDescent="0.25">
      <c r="A60" t="s">
        <v>423</v>
      </c>
      <c r="B60" t="s">
        <v>213</v>
      </c>
      <c r="C60" t="s">
        <v>0</v>
      </c>
      <c r="D60" t="s">
        <v>213</v>
      </c>
      <c r="E60" t="s">
        <v>0</v>
      </c>
      <c r="F60" t="b">
        <v>1</v>
      </c>
      <c r="G60" s="38" t="s">
        <v>322</v>
      </c>
      <c r="H60" s="39" t="s">
        <v>383</v>
      </c>
      <c r="I60">
        <v>0</v>
      </c>
      <c r="J60" t="b">
        <v>0</v>
      </c>
      <c r="K60" s="13" t="s">
        <v>215</v>
      </c>
      <c r="M60" t="s">
        <v>217</v>
      </c>
      <c r="N60" t="s">
        <v>218</v>
      </c>
      <c r="O60" t="b">
        <v>0</v>
      </c>
      <c r="P60">
        <v>0</v>
      </c>
      <c r="Q60" t="b">
        <v>0</v>
      </c>
      <c r="R60" s="12">
        <v>78</v>
      </c>
      <c r="S60" s="12">
        <v>76</v>
      </c>
      <c r="T60">
        <v>0</v>
      </c>
      <c r="U60">
        <v>0</v>
      </c>
      <c r="V60">
        <v>0</v>
      </c>
      <c r="W60">
        <v>0</v>
      </c>
      <c r="X60" s="12">
        <v>78</v>
      </c>
      <c r="Y60">
        <v>0</v>
      </c>
      <c r="Z60" t="b">
        <v>0</v>
      </c>
      <c r="AB60" s="14" t="s">
        <v>349</v>
      </c>
      <c r="AC60">
        <v>1</v>
      </c>
      <c r="AD60">
        <v>0</v>
      </c>
      <c r="AE60" t="b">
        <v>0</v>
      </c>
      <c r="AF60">
        <v>0</v>
      </c>
      <c r="AG60">
        <v>1</v>
      </c>
      <c r="AH60" s="15" t="s">
        <v>38</v>
      </c>
      <c r="AI60" t="b">
        <v>0</v>
      </c>
      <c r="AJ60">
        <v>0</v>
      </c>
      <c r="AL60" t="str">
        <f t="shared" si="0"/>
        <v>('43897624-d2d2-454d-b201-f2c1b9c4ead5','2025-05-31 08:27:43.267332+00','866dabc4-6501-44d2-a0e5-65da9c45a46e','2025-05-31 08:27:43.267332+00','866dabc4-6501-44d2-a0e5-65da9c45a46e',TRUE,'001','2024-09-14 16:24:00+01',0,FALSE,'Unit1','','2022-04-01 08:27:00+00','2022-04-02 08:27:00+00',FALSE,0,FALSE,78,76,0,0,0,0,78,0,FALSE,'','f04be108-eb7e-470f-9fea-cccc2ffef804',1,0,FALSE,0,1,'4dbc7800-d343-4d6e-ab27-a7706b0cd126',FALSE,0),</v>
      </c>
    </row>
    <row r="61" spans="1:38" x14ac:dyDescent="0.25">
      <c r="A61" t="s">
        <v>424</v>
      </c>
      <c r="B61" t="s">
        <v>213</v>
      </c>
      <c r="C61" t="s">
        <v>0</v>
      </c>
      <c r="D61" t="s">
        <v>213</v>
      </c>
      <c r="E61" t="s">
        <v>0</v>
      </c>
      <c r="F61" t="b">
        <v>1</v>
      </c>
      <c r="G61" s="38" t="s">
        <v>322</v>
      </c>
      <c r="H61" s="39" t="s">
        <v>384</v>
      </c>
      <c r="I61">
        <v>0</v>
      </c>
      <c r="J61" t="b">
        <v>0</v>
      </c>
      <c r="K61" s="13" t="s">
        <v>215</v>
      </c>
      <c r="M61" t="s">
        <v>217</v>
      </c>
      <c r="N61" t="s">
        <v>218</v>
      </c>
      <c r="O61" t="b">
        <v>0</v>
      </c>
      <c r="P61">
        <v>0</v>
      </c>
      <c r="Q61" t="b">
        <v>0</v>
      </c>
      <c r="R61" s="12">
        <v>78</v>
      </c>
      <c r="S61" s="12">
        <v>76</v>
      </c>
      <c r="T61">
        <v>0</v>
      </c>
      <c r="U61">
        <v>0</v>
      </c>
      <c r="V61">
        <v>0</v>
      </c>
      <c r="W61">
        <v>0</v>
      </c>
      <c r="X61" s="12">
        <v>78</v>
      </c>
      <c r="Y61">
        <v>0</v>
      </c>
      <c r="Z61" t="b">
        <v>0</v>
      </c>
      <c r="AB61" s="14" t="s">
        <v>349</v>
      </c>
      <c r="AC61">
        <v>1</v>
      </c>
      <c r="AD61">
        <v>0</v>
      </c>
      <c r="AE61" t="b">
        <v>0</v>
      </c>
      <c r="AF61">
        <v>0</v>
      </c>
      <c r="AG61">
        <v>1</v>
      </c>
      <c r="AH61" s="15" t="s">
        <v>38</v>
      </c>
      <c r="AI61" t="b">
        <v>0</v>
      </c>
      <c r="AJ61">
        <v>0</v>
      </c>
      <c r="AL61" t="str">
        <f t="shared" si="0"/>
        <v>('fda14813-bb69-4de0-b6f2-15e4579e2a08','2025-05-31 08:27:43.267332+00','866dabc4-6501-44d2-a0e5-65da9c45a46e','2025-05-31 08:27:43.267332+00','866dabc4-6501-44d2-a0e5-65da9c45a46e',TRUE,'001','2024-09-17 16:24:00+02',0,FALSE,'Unit1','','2022-04-01 08:27:00+00','2022-04-02 08:27:00+00',FALSE,0,FALSE,78,76,0,0,0,0,78,0,FALSE,'','f04be108-eb7e-470f-9fea-cccc2ffef804',1,0,FALSE,0,1,'4dbc7800-d343-4d6e-ab27-a7706b0cd126',FALSE,0),</v>
      </c>
    </row>
    <row r="62" spans="1:38" x14ac:dyDescent="0.25">
      <c r="A62" t="s">
        <v>425</v>
      </c>
      <c r="B62" t="s">
        <v>213</v>
      </c>
      <c r="C62" t="s">
        <v>0</v>
      </c>
      <c r="D62" t="s">
        <v>213</v>
      </c>
      <c r="E62" t="s">
        <v>0</v>
      </c>
      <c r="F62" t="b">
        <v>1</v>
      </c>
      <c r="G62" s="38" t="s">
        <v>322</v>
      </c>
      <c r="H62" s="39" t="s">
        <v>379</v>
      </c>
      <c r="I62">
        <v>0</v>
      </c>
      <c r="J62" t="b">
        <v>0</v>
      </c>
      <c r="K62" s="13" t="s">
        <v>215</v>
      </c>
      <c r="M62" t="s">
        <v>217</v>
      </c>
      <c r="N62" t="s">
        <v>218</v>
      </c>
      <c r="O62" t="b">
        <v>0</v>
      </c>
      <c r="P62">
        <v>0</v>
      </c>
      <c r="Q62" t="b">
        <v>0</v>
      </c>
      <c r="R62" s="12">
        <v>78</v>
      </c>
      <c r="S62" s="12">
        <v>76</v>
      </c>
      <c r="T62">
        <v>0</v>
      </c>
      <c r="U62">
        <v>0</v>
      </c>
      <c r="V62">
        <v>0</v>
      </c>
      <c r="W62">
        <v>0</v>
      </c>
      <c r="X62" s="12">
        <v>78</v>
      </c>
      <c r="Y62">
        <v>0</v>
      </c>
      <c r="Z62" t="b">
        <v>0</v>
      </c>
      <c r="AB62" s="14" t="s">
        <v>349</v>
      </c>
      <c r="AC62">
        <v>1</v>
      </c>
      <c r="AD62">
        <v>0</v>
      </c>
      <c r="AE62" t="b">
        <v>0</v>
      </c>
      <c r="AF62">
        <v>0</v>
      </c>
      <c r="AG62">
        <v>1</v>
      </c>
      <c r="AH62" s="15" t="s">
        <v>38</v>
      </c>
      <c r="AI62" t="b">
        <v>0</v>
      </c>
      <c r="AJ62">
        <v>0</v>
      </c>
      <c r="AL62" t="str">
        <f t="shared" si="0"/>
        <v>('1636e1d7-9a45-4f4d-801a-c3e99ba364d0','2025-05-31 08:27:43.267332+00','866dabc4-6501-44d2-a0e5-65da9c45a46e','2025-05-31 08:27:43.267332+00','866dabc4-6501-44d2-a0e5-65da9c45a46e',TRUE,'001','2024-09-19 16:24:00+02',0,FALSE,'Unit1','','2022-04-01 08:27:00+00','2022-04-02 08:27:00+00',FALSE,0,FALSE,78,76,0,0,0,0,78,0,FALSE,'','f04be108-eb7e-470f-9fea-cccc2ffef804',1,0,FALSE,0,1,'4dbc7800-d343-4d6e-ab27-a7706b0cd126',FALSE,0),</v>
      </c>
    </row>
    <row r="63" spans="1:38" x14ac:dyDescent="0.25">
      <c r="A63" t="s">
        <v>426</v>
      </c>
      <c r="B63" t="s">
        <v>213</v>
      </c>
      <c r="C63" t="s">
        <v>0</v>
      </c>
      <c r="D63" t="s">
        <v>213</v>
      </c>
      <c r="E63" t="s">
        <v>0</v>
      </c>
      <c r="F63" t="b">
        <v>1</v>
      </c>
      <c r="G63" s="38" t="s">
        <v>322</v>
      </c>
      <c r="H63" s="39" t="s">
        <v>385</v>
      </c>
      <c r="I63">
        <v>0</v>
      </c>
      <c r="J63" t="b">
        <v>0</v>
      </c>
      <c r="K63" s="13" t="s">
        <v>215</v>
      </c>
      <c r="M63" t="s">
        <v>217</v>
      </c>
      <c r="N63" t="s">
        <v>218</v>
      </c>
      <c r="O63" t="b">
        <v>0</v>
      </c>
      <c r="P63">
        <v>0</v>
      </c>
      <c r="Q63" t="b">
        <v>0</v>
      </c>
      <c r="R63" s="12">
        <v>78</v>
      </c>
      <c r="S63" s="12">
        <v>76</v>
      </c>
      <c r="T63">
        <v>0</v>
      </c>
      <c r="U63">
        <v>0</v>
      </c>
      <c r="V63">
        <v>0</v>
      </c>
      <c r="W63">
        <v>0</v>
      </c>
      <c r="X63" s="12">
        <v>78</v>
      </c>
      <c r="Y63">
        <v>0</v>
      </c>
      <c r="Z63" t="b">
        <v>0</v>
      </c>
      <c r="AB63" s="14" t="s">
        <v>349</v>
      </c>
      <c r="AC63">
        <v>1</v>
      </c>
      <c r="AD63">
        <v>0</v>
      </c>
      <c r="AE63" t="b">
        <v>0</v>
      </c>
      <c r="AF63">
        <v>0</v>
      </c>
      <c r="AG63">
        <v>1</v>
      </c>
      <c r="AH63" s="15" t="s">
        <v>38</v>
      </c>
      <c r="AI63" t="b">
        <v>0</v>
      </c>
      <c r="AJ63">
        <v>0</v>
      </c>
      <c r="AL63" t="str">
        <f t="shared" si="0"/>
        <v>('4192b4d9-614d-406c-836e-46eab8019da8','2025-05-31 08:27:43.267332+00','866dabc4-6501-44d2-a0e5-65da9c45a46e','2025-05-31 08:27:43.267332+00','866dabc4-6501-44d2-a0e5-65da9c45a46e',TRUE,'001','2024-09-21 16:24:00+02',0,FALSE,'Unit1','','2022-04-01 08:27:00+00','2022-04-02 08:27:00+00',FALSE,0,FALSE,78,76,0,0,0,0,78,0,FALSE,'','f04be108-eb7e-470f-9fea-cccc2ffef804',1,0,FALSE,0,1,'4dbc7800-d343-4d6e-ab27-a7706b0cd126',FALSE,0),</v>
      </c>
    </row>
    <row r="64" spans="1:38" x14ac:dyDescent="0.25">
      <c r="A64" t="s">
        <v>427</v>
      </c>
      <c r="B64" t="s">
        <v>213</v>
      </c>
      <c r="C64" t="s">
        <v>0</v>
      </c>
      <c r="D64" t="s">
        <v>213</v>
      </c>
      <c r="E64" t="s">
        <v>0</v>
      </c>
      <c r="F64" t="b">
        <v>1</v>
      </c>
      <c r="G64" s="38" t="s">
        <v>322</v>
      </c>
      <c r="H64" s="39" t="s">
        <v>386</v>
      </c>
      <c r="I64" s="37">
        <v>0</v>
      </c>
      <c r="J64" s="37" t="b">
        <v>0</v>
      </c>
      <c r="K64" s="37" t="s">
        <v>215</v>
      </c>
      <c r="L64" s="37"/>
      <c r="M64" s="37" t="s">
        <v>217</v>
      </c>
      <c r="N64" s="37" t="s">
        <v>218</v>
      </c>
      <c r="O64" s="37" t="b">
        <v>0</v>
      </c>
      <c r="P64" s="37">
        <v>0</v>
      </c>
      <c r="Q64" s="37" t="b">
        <v>0</v>
      </c>
      <c r="R64" s="37">
        <v>78</v>
      </c>
      <c r="S64" s="37">
        <v>76</v>
      </c>
      <c r="T64" s="37">
        <v>0</v>
      </c>
      <c r="U64" s="37">
        <v>0</v>
      </c>
      <c r="V64" s="37">
        <v>0</v>
      </c>
      <c r="W64" s="37">
        <v>0</v>
      </c>
      <c r="X64" s="37">
        <v>78</v>
      </c>
      <c r="Y64" s="37">
        <v>0</v>
      </c>
      <c r="Z64" s="37" t="b">
        <v>0</v>
      </c>
      <c r="AA64" s="37"/>
      <c r="AB64" s="14" t="s">
        <v>349</v>
      </c>
      <c r="AC64" s="37">
        <v>1</v>
      </c>
      <c r="AD64" s="37">
        <v>0</v>
      </c>
      <c r="AE64" s="37" t="b">
        <v>0</v>
      </c>
      <c r="AF64" s="37">
        <v>0</v>
      </c>
      <c r="AG64" s="37">
        <v>1</v>
      </c>
      <c r="AH64" s="37" t="s">
        <v>38</v>
      </c>
      <c r="AI64" s="37" t="b">
        <v>0</v>
      </c>
      <c r="AJ64" s="37">
        <v>0</v>
      </c>
      <c r="AL64" t="str">
        <f t="shared" si="0"/>
        <v>('e3a175ad-9747-4065-8093-78c92c1b9afd','2025-05-31 08:27:43.267332+00','866dabc4-6501-44d2-a0e5-65da9c45a46e','2025-05-31 08:27:43.267332+00','866dabc4-6501-44d2-a0e5-65da9c45a46e',TRUE,'001','2024-09-24 16:24:00+03',0,FALSE,'Unit1','','2022-04-01 08:27:00+00','2022-04-02 08:27:00+00',FALSE,0,FALSE,78,76,0,0,0,0,78,0,FALSE,'','f04be108-eb7e-470f-9fea-cccc2ffef804',1,0,FALSE,0,1,'4dbc7800-d343-4d6e-ab27-a7706b0cd126',FALSE,0),</v>
      </c>
    </row>
    <row r="65" spans="1:38" x14ac:dyDescent="0.25">
      <c r="A65" t="s">
        <v>428</v>
      </c>
      <c r="B65" t="s">
        <v>213</v>
      </c>
      <c r="C65" t="s">
        <v>0</v>
      </c>
      <c r="D65" t="s">
        <v>213</v>
      </c>
      <c r="E65" t="s">
        <v>0</v>
      </c>
      <c r="F65" t="b">
        <v>1</v>
      </c>
      <c r="G65" s="38" t="s">
        <v>322</v>
      </c>
      <c r="H65" s="39" t="s">
        <v>380</v>
      </c>
      <c r="I65">
        <v>0</v>
      </c>
      <c r="J65" t="b">
        <v>0</v>
      </c>
      <c r="K65" s="13" t="s">
        <v>215</v>
      </c>
      <c r="M65" t="s">
        <v>217</v>
      </c>
      <c r="N65" t="s">
        <v>218</v>
      </c>
      <c r="O65" t="b">
        <v>0</v>
      </c>
      <c r="P65">
        <v>0</v>
      </c>
      <c r="Q65" t="b">
        <v>0</v>
      </c>
      <c r="R65" s="12">
        <v>78</v>
      </c>
      <c r="S65" s="12">
        <v>76</v>
      </c>
      <c r="T65">
        <v>0</v>
      </c>
      <c r="U65">
        <v>0</v>
      </c>
      <c r="V65">
        <v>0</v>
      </c>
      <c r="W65">
        <v>0</v>
      </c>
      <c r="X65" s="12">
        <v>78</v>
      </c>
      <c r="Y65">
        <v>0</v>
      </c>
      <c r="Z65" t="b">
        <v>0</v>
      </c>
      <c r="AB65" s="14" t="s">
        <v>349</v>
      </c>
      <c r="AC65">
        <v>1</v>
      </c>
      <c r="AD65">
        <v>0</v>
      </c>
      <c r="AE65" t="b">
        <v>0</v>
      </c>
      <c r="AF65">
        <v>0</v>
      </c>
      <c r="AG65">
        <v>1</v>
      </c>
      <c r="AH65" s="15" t="s">
        <v>38</v>
      </c>
      <c r="AI65" t="b">
        <v>0</v>
      </c>
      <c r="AJ65">
        <v>0</v>
      </c>
      <c r="AL65" t="str">
        <f t="shared" si="0"/>
        <v>('d5181536-579d-451a-a390-9d4e9ea4fa42','2025-05-31 08:27:43.267332+00','866dabc4-6501-44d2-a0e5-65da9c45a46e','2025-05-31 08:27:43.267332+00','866dabc4-6501-44d2-a0e5-65da9c45a46e',TRUE,'001','2024-09-26 16:24:00+03',0,FALSE,'Unit1','','2022-04-01 08:27:00+00','2022-04-02 08:27:00+00',FALSE,0,FALSE,78,76,0,0,0,0,78,0,FALSE,'','f04be108-eb7e-470f-9fea-cccc2ffef804',1,0,FALSE,0,1,'4dbc7800-d343-4d6e-ab27-a7706b0cd126',FALSE,0),</v>
      </c>
    </row>
    <row r="66" spans="1:38" x14ac:dyDescent="0.25">
      <c r="A66" t="s">
        <v>429</v>
      </c>
      <c r="B66" t="s">
        <v>213</v>
      </c>
      <c r="C66" t="s">
        <v>0</v>
      </c>
      <c r="D66" t="s">
        <v>213</v>
      </c>
      <c r="E66" t="s">
        <v>0</v>
      </c>
      <c r="F66" t="b">
        <v>1</v>
      </c>
      <c r="G66" s="38" t="s">
        <v>322</v>
      </c>
      <c r="H66" s="39" t="s">
        <v>387</v>
      </c>
      <c r="I66">
        <v>0</v>
      </c>
      <c r="J66" t="b">
        <v>0</v>
      </c>
      <c r="K66" s="13" t="s">
        <v>215</v>
      </c>
      <c r="M66" t="s">
        <v>217</v>
      </c>
      <c r="N66" t="s">
        <v>218</v>
      </c>
      <c r="O66" t="b">
        <v>0</v>
      </c>
      <c r="P66">
        <v>0</v>
      </c>
      <c r="Q66" t="b">
        <v>0</v>
      </c>
      <c r="R66" s="12">
        <v>78</v>
      </c>
      <c r="S66" s="12">
        <v>76</v>
      </c>
      <c r="T66">
        <v>0</v>
      </c>
      <c r="U66">
        <v>0</v>
      </c>
      <c r="V66">
        <v>0</v>
      </c>
      <c r="W66">
        <v>0</v>
      </c>
      <c r="X66" s="12">
        <v>78</v>
      </c>
      <c r="Y66">
        <v>0</v>
      </c>
      <c r="Z66" t="b">
        <v>0</v>
      </c>
      <c r="AB66" s="14" t="s">
        <v>349</v>
      </c>
      <c r="AC66">
        <v>1</v>
      </c>
      <c r="AD66">
        <v>0</v>
      </c>
      <c r="AE66" t="b">
        <v>0</v>
      </c>
      <c r="AF66">
        <v>0</v>
      </c>
      <c r="AG66">
        <v>1</v>
      </c>
      <c r="AH66" s="15" t="s">
        <v>38</v>
      </c>
      <c r="AI66" t="b">
        <v>0</v>
      </c>
      <c r="AJ66">
        <v>0</v>
      </c>
      <c r="AL66" t="str">
        <f t="shared" si="0"/>
        <v>('8fa69903-287f-4bfd-9597-c070c5645b5a','2025-05-31 08:27:43.267332+00','866dabc4-6501-44d2-a0e5-65da9c45a46e','2025-05-31 08:27:43.267332+00','866dabc4-6501-44d2-a0e5-65da9c45a46e',TRUE,'001','2024-09-28 16:24:00+03',0,FALSE,'Unit1','','2022-04-01 08:27:00+00','2022-04-02 08:27:00+00',FALSE,0,FALSE,78,76,0,0,0,0,78,0,FALSE,'','f04be108-eb7e-470f-9fea-cccc2ffef804',1,0,FALSE,0,1,'4dbc7800-d343-4d6e-ab27-a7706b0cd126',FALSE,0),</v>
      </c>
    </row>
    <row r="67" spans="1:38" x14ac:dyDescent="0.25">
      <c r="A67" t="s">
        <v>430</v>
      </c>
      <c r="B67" t="s">
        <v>213</v>
      </c>
      <c r="C67" t="s">
        <v>0</v>
      </c>
      <c r="D67" t="s">
        <v>213</v>
      </c>
      <c r="E67" t="s">
        <v>0</v>
      </c>
      <c r="F67" t="b">
        <v>1</v>
      </c>
      <c r="G67" s="38" t="s">
        <v>322</v>
      </c>
      <c r="H67" s="39" t="s">
        <v>388</v>
      </c>
      <c r="I67">
        <v>0</v>
      </c>
      <c r="J67" t="b">
        <v>0</v>
      </c>
      <c r="K67" s="13" t="s">
        <v>215</v>
      </c>
      <c r="M67" t="s">
        <v>217</v>
      </c>
      <c r="N67" t="s">
        <v>218</v>
      </c>
      <c r="O67" t="b">
        <v>0</v>
      </c>
      <c r="P67">
        <v>0</v>
      </c>
      <c r="Q67" t="b">
        <v>0</v>
      </c>
      <c r="R67" s="12">
        <v>78</v>
      </c>
      <c r="S67" s="12">
        <v>76</v>
      </c>
      <c r="T67">
        <v>0</v>
      </c>
      <c r="U67">
        <v>0</v>
      </c>
      <c r="V67">
        <v>0</v>
      </c>
      <c r="W67">
        <v>0</v>
      </c>
      <c r="X67" s="12">
        <v>78</v>
      </c>
      <c r="Y67">
        <v>0</v>
      </c>
      <c r="Z67" t="b">
        <v>0</v>
      </c>
      <c r="AB67" s="14" t="s">
        <v>349</v>
      </c>
      <c r="AC67">
        <v>1</v>
      </c>
      <c r="AD67">
        <v>0</v>
      </c>
      <c r="AE67" t="b">
        <v>0</v>
      </c>
      <c r="AF67">
        <v>0</v>
      </c>
      <c r="AG67">
        <v>1</v>
      </c>
      <c r="AH67" s="15" t="s">
        <v>38</v>
      </c>
      <c r="AI67" t="b">
        <v>0</v>
      </c>
      <c r="AJ67">
        <v>0</v>
      </c>
      <c r="AL67" t="str">
        <f t="shared" ref="AL67:AL70" si="1">_xlfn.CONCAT("('",A68,"','",B68,"','",C68,"','",D68,"','",E68,"',",F68,",'",G68,"','",H68,"',",I68,",",J68,",'",K68,"','",L68,"','",M68,"','",N68,"',",O68,",",P68,",",Q68,",",R68,",",S68,",",T68,",",U68,",",V68,",",W68,",",X68,",",Y68,",",Z68,",'",AA68,"','",AB68,"',",AC68,",",AD68,",",AE68,",",AF68,",",AG68,",'",AH68,"',",AI68,",",AJ68,"),")</f>
        <v>('f11a6764-732e-4d88-9428-f48303aa8009','2025-05-31 08:27:43.267332+00','866dabc4-6501-44d2-a0e5-65da9c45a46e','2025-05-31 08:27:43.267332+00','866dabc4-6501-44d2-a0e5-65da9c45a46e',TRUE,'001','2024-10-01 16:24:00+04',0,FALSE,'Unit1','','2022-04-01 08:27:00+00','2022-04-02 08:27:00+00',FALSE,0,FALSE,78,76,0,0,0,0,78,0,FALSE,'','f04be108-eb7e-470f-9fea-cccc2ffef804',1,0,FALSE,0,1,'4dbc7800-d343-4d6e-ab27-a7706b0cd126',FALSE,0),</v>
      </c>
    </row>
    <row r="68" spans="1:38" x14ac:dyDescent="0.25">
      <c r="A68" t="s">
        <v>431</v>
      </c>
      <c r="B68" t="s">
        <v>213</v>
      </c>
      <c r="C68" t="s">
        <v>0</v>
      </c>
      <c r="D68" t="s">
        <v>213</v>
      </c>
      <c r="E68" t="s">
        <v>0</v>
      </c>
      <c r="F68" t="b">
        <v>1</v>
      </c>
      <c r="G68" s="38" t="s">
        <v>322</v>
      </c>
      <c r="H68" s="39" t="s">
        <v>389</v>
      </c>
      <c r="I68">
        <v>0</v>
      </c>
      <c r="J68" t="b">
        <v>0</v>
      </c>
      <c r="K68" s="13" t="s">
        <v>215</v>
      </c>
      <c r="M68" t="s">
        <v>217</v>
      </c>
      <c r="N68" t="s">
        <v>218</v>
      </c>
      <c r="O68" t="b">
        <v>0</v>
      </c>
      <c r="P68">
        <v>0</v>
      </c>
      <c r="Q68" t="b">
        <v>0</v>
      </c>
      <c r="R68" s="12">
        <v>78</v>
      </c>
      <c r="S68" s="12">
        <v>76</v>
      </c>
      <c r="T68">
        <v>0</v>
      </c>
      <c r="U68">
        <v>0</v>
      </c>
      <c r="V68">
        <v>0</v>
      </c>
      <c r="W68">
        <v>0</v>
      </c>
      <c r="X68" s="12">
        <v>78</v>
      </c>
      <c r="Y68">
        <v>0</v>
      </c>
      <c r="Z68" t="b">
        <v>0</v>
      </c>
      <c r="AB68" s="14" t="s">
        <v>349</v>
      </c>
      <c r="AC68">
        <v>1</v>
      </c>
      <c r="AD68">
        <v>0</v>
      </c>
      <c r="AE68" t="b">
        <v>0</v>
      </c>
      <c r="AF68">
        <v>0</v>
      </c>
      <c r="AG68">
        <v>1</v>
      </c>
      <c r="AH68" s="15" t="s">
        <v>38</v>
      </c>
      <c r="AI68" t="b">
        <v>0</v>
      </c>
      <c r="AJ68">
        <v>0</v>
      </c>
      <c r="AL68" t="str">
        <f t="shared" si="1"/>
        <v>('f709eb01-c3a7-4140-a965-ebe1e140d055','2025-05-31 08:27:43.267332+00','866dabc4-6501-44d2-a0e5-65da9c45a46e','2025-05-31 08:27:43.267332+00','866dabc4-6501-44d2-a0e5-65da9c45a46e',TRUE,'001','2024-10-03 16:24:00+04',0,FALSE,'Unit1','','2022-04-01 08:27:00+00','2022-04-02 08:27:00+00',FALSE,0,FALSE,78,76,0,0,0,0,78,0,FALSE,'','f04be108-eb7e-470f-9fea-cccc2ffef804',1,0,FALSE,0,1,'4dbc7800-d343-4d6e-ab27-a7706b0cd126',FALSE,0),</v>
      </c>
    </row>
    <row r="69" spans="1:38" x14ac:dyDescent="0.25">
      <c r="A69" t="s">
        <v>432</v>
      </c>
      <c r="B69" t="s">
        <v>213</v>
      </c>
      <c r="C69" t="s">
        <v>0</v>
      </c>
      <c r="D69" t="s">
        <v>213</v>
      </c>
      <c r="E69" t="s">
        <v>0</v>
      </c>
      <c r="F69" t="b">
        <v>1</v>
      </c>
      <c r="G69" s="38" t="s">
        <v>322</v>
      </c>
      <c r="H69" s="39" t="s">
        <v>390</v>
      </c>
      <c r="I69" s="37">
        <v>0</v>
      </c>
      <c r="J69" s="37" t="b">
        <v>0</v>
      </c>
      <c r="K69" s="37" t="s">
        <v>215</v>
      </c>
      <c r="L69" s="37"/>
      <c r="M69" s="37" t="s">
        <v>217</v>
      </c>
      <c r="N69" s="37" t="s">
        <v>218</v>
      </c>
      <c r="O69" s="37" t="b">
        <v>0</v>
      </c>
      <c r="P69" s="37">
        <v>0</v>
      </c>
      <c r="Q69" s="37" t="b">
        <v>0</v>
      </c>
      <c r="R69" s="37">
        <v>78</v>
      </c>
      <c r="S69" s="37">
        <v>76</v>
      </c>
      <c r="T69" s="37">
        <v>0</v>
      </c>
      <c r="U69" s="37">
        <v>0</v>
      </c>
      <c r="V69" s="37">
        <v>0</v>
      </c>
      <c r="W69" s="37">
        <v>0</v>
      </c>
      <c r="X69" s="37">
        <v>78</v>
      </c>
      <c r="Y69" s="37">
        <v>0</v>
      </c>
      <c r="Z69" s="37" t="b">
        <v>0</v>
      </c>
      <c r="AA69" s="37"/>
      <c r="AB69" s="14" t="s">
        <v>349</v>
      </c>
      <c r="AC69" s="37">
        <v>1</v>
      </c>
      <c r="AD69" s="37">
        <v>0</v>
      </c>
      <c r="AE69" s="37" t="b">
        <v>0</v>
      </c>
      <c r="AF69" s="37">
        <v>0</v>
      </c>
      <c r="AG69" s="37">
        <v>1</v>
      </c>
      <c r="AH69" s="37" t="s">
        <v>38</v>
      </c>
      <c r="AI69" s="37" t="b">
        <v>0</v>
      </c>
      <c r="AJ69" s="37">
        <v>0</v>
      </c>
      <c r="AL69" t="str">
        <f t="shared" si="1"/>
        <v>('f633623c-66d6-4d97-994f-b7674535cd2a','2025-05-31 08:27:43.267332+00','866dabc4-6501-44d2-a0e5-65da9c45a46e','2025-05-31 08:27:43.267332+00','866dabc4-6501-44d2-a0e5-65da9c45a46e',TRUE,'001','2024-10-05 16:24:00+04',0,FALSE,'Unit1','','2022-04-01 08:27:00+00','2022-04-02 08:27:00+00',FALSE,0,FALSE,78,76,0,0,0,0,78,0,FALSE,'','f04be108-eb7e-470f-9fea-cccc2ffef804',1,0,FALSE,0,1,'4dbc7800-d343-4d6e-ab27-a7706b0cd126',FALSE,0),</v>
      </c>
    </row>
    <row r="70" spans="1:38" x14ac:dyDescent="0.25">
      <c r="A70" t="s">
        <v>433</v>
      </c>
      <c r="B70" t="s">
        <v>213</v>
      </c>
      <c r="C70" t="s">
        <v>0</v>
      </c>
      <c r="D70" t="s">
        <v>213</v>
      </c>
      <c r="E70" t="s">
        <v>0</v>
      </c>
      <c r="F70" t="b">
        <v>1</v>
      </c>
      <c r="G70" s="38" t="s">
        <v>322</v>
      </c>
      <c r="H70" s="39" t="s">
        <v>391</v>
      </c>
      <c r="I70">
        <v>0</v>
      </c>
      <c r="J70" t="b">
        <v>0</v>
      </c>
      <c r="K70" s="13" t="s">
        <v>215</v>
      </c>
      <c r="M70" t="s">
        <v>217</v>
      </c>
      <c r="N70" t="s">
        <v>218</v>
      </c>
      <c r="O70" t="b">
        <v>0</v>
      </c>
      <c r="P70">
        <v>0</v>
      </c>
      <c r="Q70" t="b">
        <v>0</v>
      </c>
      <c r="R70" s="12">
        <v>78</v>
      </c>
      <c r="S70" s="12">
        <v>76</v>
      </c>
      <c r="T70">
        <v>0</v>
      </c>
      <c r="U70">
        <v>0</v>
      </c>
      <c r="V70">
        <v>0</v>
      </c>
      <c r="W70">
        <v>0</v>
      </c>
      <c r="X70" s="12">
        <v>78</v>
      </c>
      <c r="Y70">
        <v>0</v>
      </c>
      <c r="Z70" t="b">
        <v>0</v>
      </c>
      <c r="AB70" s="14" t="s">
        <v>349</v>
      </c>
      <c r="AC70">
        <v>1</v>
      </c>
      <c r="AD70">
        <v>0</v>
      </c>
      <c r="AE70" t="b">
        <v>0</v>
      </c>
      <c r="AF70">
        <v>0</v>
      </c>
      <c r="AG70">
        <v>1</v>
      </c>
      <c r="AH70" s="15" t="s">
        <v>38</v>
      </c>
      <c r="AI70" t="b">
        <v>0</v>
      </c>
      <c r="AJ70">
        <v>0</v>
      </c>
      <c r="AL70" t="str">
        <f t="shared" si="1"/>
        <v>('','','','','',,'','',,,'','','','',,,,,,,,,,,,,'','',,,,,,'',,),</v>
      </c>
    </row>
    <row r="74" spans="1:38" x14ac:dyDescent="0.25">
      <c r="AL74" t="s">
        <v>446</v>
      </c>
    </row>
    <row r="75" spans="1:38" x14ac:dyDescent="0.25">
      <c r="AL75" t="s">
        <v>447</v>
      </c>
    </row>
    <row r="76" spans="1:38" x14ac:dyDescent="0.25">
      <c r="AL76" t="s">
        <v>448</v>
      </c>
    </row>
    <row r="77" spans="1:38" x14ac:dyDescent="0.25">
      <c r="AL77" t="s">
        <v>472</v>
      </c>
    </row>
    <row r="78" spans="1:38" x14ac:dyDescent="0.25">
      <c r="AL78" t="s">
        <v>473</v>
      </c>
    </row>
    <row r="79" spans="1:38" x14ac:dyDescent="0.25">
      <c r="AL79" t="s">
        <v>449</v>
      </c>
    </row>
    <row r="80" spans="1:38" x14ac:dyDescent="0.25">
      <c r="AL80" t="s">
        <v>450</v>
      </c>
    </row>
    <row r="81" spans="38:38" x14ac:dyDescent="0.25">
      <c r="AL81" t="s">
        <v>464</v>
      </c>
    </row>
    <row r="82" spans="38:38" x14ac:dyDescent="0.25">
      <c r="AL82" t="s">
        <v>474</v>
      </c>
    </row>
    <row r="83" spans="38:38" x14ac:dyDescent="0.25">
      <c r="AL83" t="s">
        <v>475</v>
      </c>
    </row>
    <row r="84" spans="38:38" x14ac:dyDescent="0.25">
      <c r="AL84" t="s">
        <v>465</v>
      </c>
    </row>
    <row r="85" spans="38:38" x14ac:dyDescent="0.25">
      <c r="AL85" t="s">
        <v>451</v>
      </c>
    </row>
    <row r="86" spans="38:38" x14ac:dyDescent="0.25">
      <c r="AL86" t="s">
        <v>452</v>
      </c>
    </row>
    <row r="87" spans="38:38" x14ac:dyDescent="0.25">
      <c r="AL87" t="s">
        <v>476</v>
      </c>
    </row>
    <row r="88" spans="38:38" x14ac:dyDescent="0.25">
      <c r="AL88" t="s">
        <v>477</v>
      </c>
    </row>
    <row r="89" spans="38:38" x14ac:dyDescent="0.25">
      <c r="AL89" t="s">
        <v>453</v>
      </c>
    </row>
    <row r="90" spans="38:38" x14ac:dyDescent="0.25">
      <c r="AL90" t="s">
        <v>466</v>
      </c>
    </row>
    <row r="91" spans="38:38" x14ac:dyDescent="0.25">
      <c r="AL91" t="s">
        <v>454</v>
      </c>
    </row>
    <row r="92" spans="38:38" x14ac:dyDescent="0.25">
      <c r="AL92" t="s">
        <v>478</v>
      </c>
    </row>
    <row r="93" spans="38:38" x14ac:dyDescent="0.25">
      <c r="AL93" t="s">
        <v>479</v>
      </c>
    </row>
    <row r="94" spans="38:38" x14ac:dyDescent="0.25">
      <c r="AL94" t="s">
        <v>455</v>
      </c>
    </row>
    <row r="95" spans="38:38" x14ac:dyDescent="0.25">
      <c r="AL95" t="s">
        <v>456</v>
      </c>
    </row>
    <row r="96" spans="38:38" x14ac:dyDescent="0.25">
      <c r="AL96" t="s">
        <v>467</v>
      </c>
    </row>
    <row r="97" spans="38:38" x14ac:dyDescent="0.25">
      <c r="AL97" t="s">
        <v>480</v>
      </c>
    </row>
    <row r="98" spans="38:38" x14ac:dyDescent="0.25">
      <c r="AL98" t="s">
        <v>481</v>
      </c>
    </row>
    <row r="99" spans="38:38" x14ac:dyDescent="0.25">
      <c r="AL99" t="s">
        <v>468</v>
      </c>
    </row>
    <row r="100" spans="38:38" x14ac:dyDescent="0.25">
      <c r="AL100" t="s">
        <v>457</v>
      </c>
    </row>
    <row r="101" spans="38:38" x14ac:dyDescent="0.25">
      <c r="AL101" t="s">
        <v>458</v>
      </c>
    </row>
    <row r="102" spans="38:38" x14ac:dyDescent="0.25">
      <c r="AL102" t="s">
        <v>482</v>
      </c>
    </row>
    <row r="103" spans="38:38" x14ac:dyDescent="0.25">
      <c r="AL103" t="s">
        <v>483</v>
      </c>
    </row>
    <row r="104" spans="38:38" x14ac:dyDescent="0.25">
      <c r="AL104" t="s">
        <v>459</v>
      </c>
    </row>
    <row r="105" spans="38:38" x14ac:dyDescent="0.25">
      <c r="AL105" t="s">
        <v>469</v>
      </c>
    </row>
    <row r="106" spans="38:38" x14ac:dyDescent="0.25">
      <c r="AL106" t="s">
        <v>460</v>
      </c>
    </row>
    <row r="107" spans="38:38" x14ac:dyDescent="0.25">
      <c r="AL107" t="s">
        <v>484</v>
      </c>
    </row>
    <row r="108" spans="38:38" x14ac:dyDescent="0.25">
      <c r="AL108" t="s">
        <v>485</v>
      </c>
    </row>
    <row r="109" spans="38:38" x14ac:dyDescent="0.25">
      <c r="AL109" t="s">
        <v>461</v>
      </c>
    </row>
    <row r="110" spans="38:38" x14ac:dyDescent="0.25">
      <c r="AL110" t="s">
        <v>462</v>
      </c>
    </row>
    <row r="111" spans="38:38" x14ac:dyDescent="0.25">
      <c r="AL111" t="s">
        <v>470</v>
      </c>
    </row>
    <row r="112" spans="38:38" x14ac:dyDescent="0.25">
      <c r="AL112" t="s">
        <v>486</v>
      </c>
    </row>
    <row r="113" spans="38:38" x14ac:dyDescent="0.25">
      <c r="AL113" t="s">
        <v>487</v>
      </c>
    </row>
    <row r="114" spans="38:38" x14ac:dyDescent="0.25">
      <c r="AL114" t="s">
        <v>471</v>
      </c>
    </row>
    <row r="115" spans="38:38" x14ac:dyDescent="0.25">
      <c r="AL115" t="s">
        <v>463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A5BBA-C57D-4A32-AFF2-9B38196FEE55}">
  <sheetPr>
    <tabColor theme="7" tint="-0.249977111117893"/>
  </sheetPr>
  <dimension ref="A1:P119"/>
  <sheetViews>
    <sheetView topLeftCell="A2" workbookViewId="0">
      <selection activeCell="E2" sqref="E2"/>
    </sheetView>
  </sheetViews>
  <sheetFormatPr defaultRowHeight="15" x14ac:dyDescent="0.25"/>
  <cols>
    <col min="1" max="1" width="38.140625" style="16" bestFit="1" customWidth="1"/>
    <col min="2" max="2" width="29.42578125" style="16" customWidth="1"/>
    <col min="3" max="3" width="36.7109375" style="16" bestFit="1" customWidth="1"/>
    <col min="4" max="4" width="28.140625" bestFit="1" customWidth="1"/>
    <col min="5" max="5" width="36.7109375" bestFit="1" customWidth="1"/>
    <col min="6" max="6" width="10.140625" bestFit="1" customWidth="1"/>
    <col min="7" max="7" width="21.42578125" style="1" bestFit="1" customWidth="1"/>
    <col min="8" max="8" width="11.28515625" style="1" bestFit="1" customWidth="1"/>
    <col min="9" max="9" width="12" bestFit="1" customWidth="1"/>
    <col min="10" max="10" width="11.28515625" bestFit="1" customWidth="1"/>
    <col min="11" max="11" width="7.5703125" style="17" bestFit="1" customWidth="1"/>
    <col min="12" max="12" width="21.7109375" bestFit="1" customWidth="1"/>
    <col min="13" max="13" width="215.7109375" bestFit="1" customWidth="1"/>
    <col min="15" max="15" width="21.85546875" customWidth="1"/>
    <col min="16" max="16" width="29.42578125" customWidth="1"/>
  </cols>
  <sheetData>
    <row r="1" spans="1:16" ht="56.25" customHeight="1" x14ac:dyDescent="0.25">
      <c r="A1" s="16" t="s">
        <v>221</v>
      </c>
      <c r="B1" s="16" t="s">
        <v>178</v>
      </c>
      <c r="C1" s="16" t="s">
        <v>179</v>
      </c>
      <c r="D1" t="s">
        <v>180</v>
      </c>
      <c r="E1" t="s">
        <v>181</v>
      </c>
      <c r="F1" t="s">
        <v>182</v>
      </c>
      <c r="G1" s="1" t="s">
        <v>222</v>
      </c>
      <c r="H1" s="1" t="s">
        <v>183</v>
      </c>
      <c r="I1" t="s">
        <v>223</v>
      </c>
      <c r="J1" t="s">
        <v>224</v>
      </c>
      <c r="K1" s="17" t="s">
        <v>225</v>
      </c>
      <c r="L1" t="s">
        <v>226</v>
      </c>
    </row>
    <row r="2" spans="1:16" ht="63.75" customHeight="1" x14ac:dyDescent="0.25">
      <c r="E2" t="s">
        <v>296</v>
      </c>
      <c r="G2" s="28"/>
      <c r="H2" s="28"/>
    </row>
    <row r="3" spans="1:16" x14ac:dyDescent="0.25">
      <c r="G3" s="28"/>
      <c r="H3" s="28"/>
    </row>
    <row r="4" spans="1:16" x14ac:dyDescent="0.25">
      <c r="A4" t="s">
        <v>286</v>
      </c>
      <c r="B4" s="31" t="s">
        <v>323</v>
      </c>
      <c r="C4" s="18" t="s">
        <v>0</v>
      </c>
      <c r="D4" s="31" t="s">
        <v>323</v>
      </c>
      <c r="E4" s="19" t="s">
        <v>0</v>
      </c>
      <c r="F4" s="20" t="b">
        <v>1</v>
      </c>
      <c r="G4" s="31" t="s">
        <v>323</v>
      </c>
      <c r="H4" s="29" t="s">
        <v>322</v>
      </c>
      <c r="I4" s="20">
        <v>-2</v>
      </c>
      <c r="J4">
        <v>0.9</v>
      </c>
      <c r="L4" t="b">
        <v>0</v>
      </c>
      <c r="M4" t="str">
        <f>_xlfn.CONCAT("('",A4,"','",B4,"','",C4,"','",D4,"','",E4,"',",F4,",'",G4,"','",H4,"',",I4,",",J4,",",L4,"),")</f>
        <v>('8f7bf747-7e81-4d05-a057-5776a6e9916b','2024-01-01','866dabc4-6501-44d2-a0e5-65da9c45a46e','2024-01-01','866dabc4-6501-44d2-a0e5-65da9c45a46e',TRUE,'2024-01-01','001',-2,0.9,FALSE),</v>
      </c>
      <c r="O4" s="26" t="s">
        <v>297</v>
      </c>
      <c r="P4" t="str">
        <f>LEFT(O4,10)</f>
        <v>2024-01-01</v>
      </c>
    </row>
    <row r="5" spans="1:16" x14ac:dyDescent="0.25">
      <c r="A5" t="s">
        <v>287</v>
      </c>
      <c r="B5" s="31" t="s">
        <v>324</v>
      </c>
      <c r="C5" s="18" t="s">
        <v>0</v>
      </c>
      <c r="D5" s="31" t="s">
        <v>324</v>
      </c>
      <c r="E5" s="19" t="s">
        <v>0</v>
      </c>
      <c r="F5" s="20" t="b">
        <v>1</v>
      </c>
      <c r="G5" s="31" t="s">
        <v>324</v>
      </c>
      <c r="H5" s="29" t="s">
        <v>322</v>
      </c>
      <c r="I5" s="20">
        <v>-2</v>
      </c>
      <c r="J5">
        <v>0.9</v>
      </c>
      <c r="L5" t="b">
        <v>0</v>
      </c>
      <c r="M5" t="str">
        <f t="shared" ref="M5:M68" si="0">_xlfn.CONCAT("('",A5,"','",B5,"','",C5,"','",D5,"','",E5,"',",F5,",'",G5,"','",H5,"',",I5,",",J5,",",L5,"),")</f>
        <v>('1dca79a4-5d58-4ff6-a5a1-87e0073776cd','2024-01-04','866dabc4-6501-44d2-a0e5-65da9c45a46e','2024-01-04','866dabc4-6501-44d2-a0e5-65da9c45a46e',TRUE,'2024-01-04','001',-2,0.9,FALSE),</v>
      </c>
      <c r="O5" s="26" t="s">
        <v>298</v>
      </c>
      <c r="P5" t="str">
        <f t="shared" ref="P5:P29" si="1">LEFT(O5,10)</f>
        <v>2022-01-04</v>
      </c>
    </row>
    <row r="6" spans="1:16" x14ac:dyDescent="0.25">
      <c r="A6" t="s">
        <v>288</v>
      </c>
      <c r="B6" s="31" t="s">
        <v>325</v>
      </c>
      <c r="C6" s="18" t="s">
        <v>0</v>
      </c>
      <c r="D6" s="31" t="s">
        <v>325</v>
      </c>
      <c r="E6" s="19" t="s">
        <v>0</v>
      </c>
      <c r="F6" s="20" t="b">
        <v>1</v>
      </c>
      <c r="G6" s="31" t="s">
        <v>325</v>
      </c>
      <c r="H6" s="29" t="s">
        <v>322</v>
      </c>
      <c r="I6" s="20">
        <v>-2</v>
      </c>
      <c r="J6">
        <v>0.9</v>
      </c>
      <c r="L6" t="b">
        <v>0</v>
      </c>
      <c r="M6" t="str">
        <f t="shared" si="0"/>
        <v>('1b4265b9-adc6-4ca4-9dab-eaea90c2aa48','2024-01-08','866dabc4-6501-44d2-a0e5-65da9c45a46e','2024-01-08','866dabc4-6501-44d2-a0e5-65da9c45a46e',TRUE,'2024-01-08','001',-2,0.9,FALSE),</v>
      </c>
      <c r="O6" s="26" t="s">
        <v>299</v>
      </c>
      <c r="P6" t="str">
        <f t="shared" si="1"/>
        <v>2022-01-08</v>
      </c>
    </row>
    <row r="7" spans="1:16" x14ac:dyDescent="0.25">
      <c r="A7" t="s">
        <v>289</v>
      </c>
      <c r="B7" s="31" t="s">
        <v>326</v>
      </c>
      <c r="C7" s="18" t="s">
        <v>0</v>
      </c>
      <c r="D7" s="31" t="s">
        <v>326</v>
      </c>
      <c r="E7" s="19" t="s">
        <v>0</v>
      </c>
      <c r="F7" s="20" t="b">
        <v>1</v>
      </c>
      <c r="G7" s="31" t="s">
        <v>326</v>
      </c>
      <c r="H7" s="29" t="s">
        <v>322</v>
      </c>
      <c r="I7" s="20">
        <v>-2</v>
      </c>
      <c r="J7">
        <v>0.9</v>
      </c>
      <c r="L7" t="b">
        <v>0</v>
      </c>
      <c r="M7" t="str">
        <f t="shared" si="0"/>
        <v>('650553e0-18ab-41d9-b592-f75fb11ca7fc','2024-01-11','866dabc4-6501-44d2-a0e5-65da9c45a46e','2024-01-11','866dabc4-6501-44d2-a0e5-65da9c45a46e',TRUE,'2024-01-11','001',-2,0.9,FALSE),</v>
      </c>
      <c r="O7" s="26" t="s">
        <v>300</v>
      </c>
      <c r="P7" t="str">
        <f t="shared" si="1"/>
        <v>2022-01-11</v>
      </c>
    </row>
    <row r="8" spans="1:16" x14ac:dyDescent="0.25">
      <c r="A8" t="s">
        <v>290</v>
      </c>
      <c r="B8" s="31" t="s">
        <v>327</v>
      </c>
      <c r="C8" s="18" t="s">
        <v>0</v>
      </c>
      <c r="D8" s="31" t="s">
        <v>327</v>
      </c>
      <c r="E8" s="19" t="s">
        <v>0</v>
      </c>
      <c r="F8" s="20" t="b">
        <v>1</v>
      </c>
      <c r="G8" s="31" t="s">
        <v>327</v>
      </c>
      <c r="H8" s="29" t="s">
        <v>322</v>
      </c>
      <c r="I8" s="20">
        <v>-2</v>
      </c>
      <c r="J8">
        <v>0.9</v>
      </c>
      <c r="L8" t="b">
        <v>0</v>
      </c>
      <c r="M8" t="str">
        <f t="shared" si="0"/>
        <v>('cb83edc0-119e-4fb7-ad14-6862edb15d64','2024-01-15','866dabc4-6501-44d2-a0e5-65da9c45a46e','2024-01-15','866dabc4-6501-44d2-a0e5-65da9c45a46e',TRUE,'2024-01-15','001',-2,0.9,FALSE),</v>
      </c>
      <c r="O8" s="26" t="s">
        <v>301</v>
      </c>
      <c r="P8" t="str">
        <f t="shared" si="1"/>
        <v>2022-01-15</v>
      </c>
    </row>
    <row r="9" spans="1:16" x14ac:dyDescent="0.25">
      <c r="A9" t="s">
        <v>291</v>
      </c>
      <c r="B9" s="31" t="s">
        <v>328</v>
      </c>
      <c r="C9" s="18" t="s">
        <v>0</v>
      </c>
      <c r="D9" s="31" t="s">
        <v>328</v>
      </c>
      <c r="E9" s="19" t="s">
        <v>0</v>
      </c>
      <c r="F9" s="20" t="b">
        <v>1</v>
      </c>
      <c r="G9" s="31" t="s">
        <v>328</v>
      </c>
      <c r="H9" s="29" t="s">
        <v>322</v>
      </c>
      <c r="I9" s="20">
        <v>-2</v>
      </c>
      <c r="J9">
        <v>0.9</v>
      </c>
      <c r="L9" t="b">
        <v>0</v>
      </c>
      <c r="M9" t="str">
        <f t="shared" si="0"/>
        <v>('d0bfd37d-5bd1-445f-b53b-8479d171e296','2024-01-18','866dabc4-6501-44d2-a0e5-65da9c45a46e','2024-01-18','866dabc4-6501-44d2-a0e5-65da9c45a46e',TRUE,'2024-01-18','001',-2,0.9,FALSE),</v>
      </c>
      <c r="O9" s="26" t="s">
        <v>302</v>
      </c>
      <c r="P9" t="str">
        <f t="shared" si="1"/>
        <v>2022-01-18</v>
      </c>
    </row>
    <row r="10" spans="1:16" x14ac:dyDescent="0.25">
      <c r="A10" t="s">
        <v>292</v>
      </c>
      <c r="B10" s="31" t="s">
        <v>329</v>
      </c>
      <c r="C10" s="18" t="s">
        <v>0</v>
      </c>
      <c r="D10" s="31" t="s">
        <v>329</v>
      </c>
      <c r="E10" s="19" t="s">
        <v>0</v>
      </c>
      <c r="F10" s="20" t="b">
        <v>1</v>
      </c>
      <c r="G10" s="31" t="s">
        <v>329</v>
      </c>
      <c r="H10" s="29" t="s">
        <v>322</v>
      </c>
      <c r="I10" s="20">
        <v>-2</v>
      </c>
      <c r="J10">
        <v>0.9</v>
      </c>
      <c r="L10" t="b">
        <v>0</v>
      </c>
      <c r="M10" t="str">
        <f t="shared" si="0"/>
        <v>('5a423036-a02b-4f87-bec4-6a14169e6e3a','2024-01-22','866dabc4-6501-44d2-a0e5-65da9c45a46e','2024-01-22','866dabc4-6501-44d2-a0e5-65da9c45a46e',TRUE,'2024-01-22','001',-2,0.9,FALSE),</v>
      </c>
      <c r="O10" s="26" t="s">
        <v>303</v>
      </c>
      <c r="P10" t="str">
        <f t="shared" si="1"/>
        <v>2022-01-22</v>
      </c>
    </row>
    <row r="11" spans="1:16" x14ac:dyDescent="0.25">
      <c r="A11" t="s">
        <v>293</v>
      </c>
      <c r="B11" s="31" t="s">
        <v>330</v>
      </c>
      <c r="C11" s="18" t="s">
        <v>0</v>
      </c>
      <c r="D11" s="31" t="s">
        <v>330</v>
      </c>
      <c r="E11" s="19" t="s">
        <v>0</v>
      </c>
      <c r="F11" s="20" t="b">
        <v>1</v>
      </c>
      <c r="G11" s="31" t="s">
        <v>330</v>
      </c>
      <c r="H11" s="29" t="s">
        <v>322</v>
      </c>
      <c r="I11" s="20">
        <v>-2</v>
      </c>
      <c r="J11">
        <v>0.9</v>
      </c>
      <c r="L11" t="b">
        <v>0</v>
      </c>
      <c r="M11" t="str">
        <f t="shared" si="0"/>
        <v>('c8a85dad-82f8-4826-9179-8e38a2a9b906','2024-01-25','866dabc4-6501-44d2-a0e5-65da9c45a46e','2024-01-25','866dabc4-6501-44d2-a0e5-65da9c45a46e',TRUE,'2024-01-25','001',-2,0.9,FALSE),</v>
      </c>
      <c r="O11" s="26" t="s">
        <v>304</v>
      </c>
      <c r="P11" t="str">
        <f t="shared" si="1"/>
        <v>2022-01-25</v>
      </c>
    </row>
    <row r="12" spans="1:16" x14ac:dyDescent="0.25">
      <c r="A12" t="s">
        <v>294</v>
      </c>
      <c r="B12" s="31" t="s">
        <v>331</v>
      </c>
      <c r="C12" s="18" t="s">
        <v>0</v>
      </c>
      <c r="D12" s="31" t="s">
        <v>331</v>
      </c>
      <c r="E12" s="19" t="s">
        <v>0</v>
      </c>
      <c r="F12" s="20" t="b">
        <v>1</v>
      </c>
      <c r="G12" s="31" t="s">
        <v>331</v>
      </c>
      <c r="H12" s="29" t="s">
        <v>322</v>
      </c>
      <c r="I12" s="20">
        <v>-2</v>
      </c>
      <c r="J12">
        <v>0.9</v>
      </c>
      <c r="L12" t="b">
        <v>0</v>
      </c>
      <c r="M12" t="str">
        <f t="shared" si="0"/>
        <v>('ac19924c-14a3-4680-8f55-e743cc0bc74d','2024-01-29','866dabc4-6501-44d2-a0e5-65da9c45a46e','2024-01-29','866dabc4-6501-44d2-a0e5-65da9c45a46e',TRUE,'2024-01-29','001',-2,0.9,FALSE),</v>
      </c>
      <c r="O12" s="26" t="s">
        <v>305</v>
      </c>
      <c r="P12" t="str">
        <f t="shared" si="1"/>
        <v>2022-01-29</v>
      </c>
    </row>
    <row r="13" spans="1:16" x14ac:dyDescent="0.25">
      <c r="A13" t="s">
        <v>295</v>
      </c>
      <c r="B13" s="31" t="s">
        <v>332</v>
      </c>
      <c r="C13" s="18" t="s">
        <v>0</v>
      </c>
      <c r="D13" s="31" t="s">
        <v>332</v>
      </c>
      <c r="E13" s="19" t="s">
        <v>0</v>
      </c>
      <c r="F13" s="20" t="b">
        <v>1</v>
      </c>
      <c r="G13" s="31" t="s">
        <v>332</v>
      </c>
      <c r="H13" s="29" t="s">
        <v>322</v>
      </c>
      <c r="I13" s="20">
        <v>-2</v>
      </c>
      <c r="J13">
        <v>0.9</v>
      </c>
      <c r="L13" t="b">
        <v>0</v>
      </c>
      <c r="M13" t="str">
        <f t="shared" si="0"/>
        <v>('adf876db-d4f2-489e-803b-a93f5a0aa9fd','2024-02-01','866dabc4-6501-44d2-a0e5-65da9c45a46e','2024-02-01','866dabc4-6501-44d2-a0e5-65da9c45a46e',TRUE,'2024-02-01','001',-2,0.9,FALSE),</v>
      </c>
      <c r="O13" s="26" t="s">
        <v>313</v>
      </c>
      <c r="P13" t="str">
        <f t="shared" si="1"/>
        <v>2022-02-01</v>
      </c>
    </row>
    <row r="14" spans="1:16" x14ac:dyDescent="0.25">
      <c r="A14" t="s">
        <v>270</v>
      </c>
      <c r="B14" s="32" t="s">
        <v>333</v>
      </c>
      <c r="C14" s="18" t="s">
        <v>0</v>
      </c>
      <c r="D14" s="32" t="s">
        <v>333</v>
      </c>
      <c r="E14" s="19" t="s">
        <v>0</v>
      </c>
      <c r="F14" s="20" t="b">
        <v>1</v>
      </c>
      <c r="G14" s="32" t="s">
        <v>333</v>
      </c>
      <c r="H14" s="29" t="s">
        <v>322</v>
      </c>
      <c r="I14" s="20">
        <v>-2</v>
      </c>
      <c r="J14">
        <v>0.9</v>
      </c>
      <c r="L14" t="b">
        <v>0</v>
      </c>
      <c r="M14" t="str">
        <f t="shared" si="0"/>
        <v>('8753741f-bcc4-48e2-a2f1-3984d15afb9a','2024-02-02','866dabc4-6501-44d2-a0e5-65da9c45a46e','2024-02-02','866dabc4-6501-44d2-a0e5-65da9c45a46e',TRUE,'2024-02-02','001',-2,0.9,FALSE),</v>
      </c>
      <c r="O14" s="27" t="s">
        <v>269</v>
      </c>
      <c r="P14" t="str">
        <f t="shared" si="1"/>
        <v>2022-02-02</v>
      </c>
    </row>
    <row r="15" spans="1:16" x14ac:dyDescent="0.25">
      <c r="A15" t="s">
        <v>271</v>
      </c>
      <c r="B15" s="32" t="s">
        <v>334</v>
      </c>
      <c r="C15" s="18" t="s">
        <v>0</v>
      </c>
      <c r="D15" s="32" t="s">
        <v>334</v>
      </c>
      <c r="E15" s="19" t="s">
        <v>0</v>
      </c>
      <c r="F15" s="20" t="b">
        <v>1</v>
      </c>
      <c r="G15" s="32" t="s">
        <v>334</v>
      </c>
      <c r="H15" s="29" t="s">
        <v>322</v>
      </c>
      <c r="I15" s="20">
        <v>-2</v>
      </c>
      <c r="J15">
        <v>0.9</v>
      </c>
      <c r="L15" t="b">
        <v>0</v>
      </c>
      <c r="M15" t="str">
        <f t="shared" si="0"/>
        <v>('8586cb82-9210-4b63-af63-a16b8c931c8f','2024-02-08','866dabc4-6501-44d2-a0e5-65da9c45a46e','2024-02-08','866dabc4-6501-44d2-a0e5-65da9c45a46e',TRUE,'2024-02-08','001',-2,0.9,FALSE),</v>
      </c>
      <c r="O15" s="27" t="s">
        <v>306</v>
      </c>
      <c r="P15" t="str">
        <f t="shared" si="1"/>
        <v>2022-02-08</v>
      </c>
    </row>
    <row r="16" spans="1:16" x14ac:dyDescent="0.25">
      <c r="A16" t="s">
        <v>272</v>
      </c>
      <c r="B16" s="32" t="s">
        <v>335</v>
      </c>
      <c r="C16" s="18" t="s">
        <v>0</v>
      </c>
      <c r="D16" s="32" t="s">
        <v>335</v>
      </c>
      <c r="E16" s="19" t="s">
        <v>0</v>
      </c>
      <c r="F16" s="20" t="b">
        <v>1</v>
      </c>
      <c r="G16" s="32" t="s">
        <v>335</v>
      </c>
      <c r="H16" s="29" t="s">
        <v>322</v>
      </c>
      <c r="I16" s="20">
        <v>-2</v>
      </c>
      <c r="J16">
        <v>0.9</v>
      </c>
      <c r="L16" t="b">
        <v>0</v>
      </c>
      <c r="M16" t="str">
        <f t="shared" si="0"/>
        <v>('b9c69486-4df9-40ec-926e-5424e482e11d','2024-02-12','866dabc4-6501-44d2-a0e5-65da9c45a46e','2024-02-12','866dabc4-6501-44d2-a0e5-65da9c45a46e',TRUE,'2024-02-12','001',-2,0.9,FALSE),</v>
      </c>
      <c r="O16" s="27" t="s">
        <v>307</v>
      </c>
      <c r="P16" t="str">
        <f t="shared" si="1"/>
        <v>2022-02-12</v>
      </c>
    </row>
    <row r="17" spans="1:16" x14ac:dyDescent="0.25">
      <c r="A17" t="s">
        <v>273</v>
      </c>
      <c r="B17" s="32" t="s">
        <v>336</v>
      </c>
      <c r="C17" s="18" t="s">
        <v>0</v>
      </c>
      <c r="D17" s="32" t="s">
        <v>336</v>
      </c>
      <c r="E17" s="19" t="s">
        <v>0</v>
      </c>
      <c r="F17" s="20" t="b">
        <v>1</v>
      </c>
      <c r="G17" s="32" t="s">
        <v>336</v>
      </c>
      <c r="H17" s="29" t="s">
        <v>322</v>
      </c>
      <c r="I17" s="20">
        <v>-2</v>
      </c>
      <c r="J17">
        <v>0.9</v>
      </c>
      <c r="L17" t="b">
        <v>0</v>
      </c>
      <c r="M17" t="str">
        <f t="shared" si="0"/>
        <v>('4865ba95-ff21-401e-8be1-b0d23bb4457e','2024-02-15','866dabc4-6501-44d2-a0e5-65da9c45a46e','2024-02-15','866dabc4-6501-44d2-a0e5-65da9c45a46e',TRUE,'2024-02-15','001',-2,0.9,FALSE),</v>
      </c>
      <c r="O17" s="27" t="s">
        <v>308</v>
      </c>
      <c r="P17" t="str">
        <f t="shared" si="1"/>
        <v>2022-02-15</v>
      </c>
    </row>
    <row r="18" spans="1:16" x14ac:dyDescent="0.25">
      <c r="A18" t="s">
        <v>274</v>
      </c>
      <c r="B18" s="32" t="s">
        <v>337</v>
      </c>
      <c r="C18" s="18" t="s">
        <v>0</v>
      </c>
      <c r="D18" s="32" t="s">
        <v>337</v>
      </c>
      <c r="E18" s="19" t="s">
        <v>0</v>
      </c>
      <c r="F18" s="20" t="b">
        <v>1</v>
      </c>
      <c r="G18" s="32" t="s">
        <v>337</v>
      </c>
      <c r="H18" s="29" t="s">
        <v>322</v>
      </c>
      <c r="I18" s="20">
        <v>-2</v>
      </c>
      <c r="J18">
        <v>0.9</v>
      </c>
      <c r="L18" t="b">
        <v>0</v>
      </c>
      <c r="M18" t="str">
        <f t="shared" si="0"/>
        <v>('9b653f18-a300-4548-b6af-3d5d56a49217','2024-02-19','866dabc4-6501-44d2-a0e5-65da9c45a46e','2024-02-19','866dabc4-6501-44d2-a0e5-65da9c45a46e',TRUE,'2024-02-19','001',-2,0.9,FALSE),</v>
      </c>
      <c r="O18" s="27" t="s">
        <v>309</v>
      </c>
      <c r="P18" t="str">
        <f t="shared" si="1"/>
        <v>2022-02-19</v>
      </c>
    </row>
    <row r="19" spans="1:16" x14ac:dyDescent="0.25">
      <c r="A19" t="s">
        <v>275</v>
      </c>
      <c r="B19" s="32" t="s">
        <v>338</v>
      </c>
      <c r="C19" s="18" t="s">
        <v>0</v>
      </c>
      <c r="D19" s="32" t="s">
        <v>338</v>
      </c>
      <c r="E19" s="19" t="s">
        <v>0</v>
      </c>
      <c r="F19" s="20" t="b">
        <v>1</v>
      </c>
      <c r="G19" s="32" t="s">
        <v>338</v>
      </c>
      <c r="H19" s="29" t="s">
        <v>322</v>
      </c>
      <c r="I19" s="20">
        <v>-2</v>
      </c>
      <c r="J19">
        <v>0.9</v>
      </c>
      <c r="L19" t="b">
        <v>0</v>
      </c>
      <c r="M19" t="str">
        <f t="shared" si="0"/>
        <v>('f732128d-61be-468f-89e9-503220c7bdd9','2024-02-22','866dabc4-6501-44d2-a0e5-65da9c45a46e','2024-02-22','866dabc4-6501-44d2-a0e5-65da9c45a46e',TRUE,'2024-02-22','001',-2,0.9,FALSE),</v>
      </c>
      <c r="O19" s="27" t="s">
        <v>310</v>
      </c>
      <c r="P19" t="str">
        <f t="shared" si="1"/>
        <v>2022-02-22</v>
      </c>
    </row>
    <row r="20" spans="1:16" x14ac:dyDescent="0.25">
      <c r="A20" t="s">
        <v>276</v>
      </c>
      <c r="B20" s="32" t="s">
        <v>339</v>
      </c>
      <c r="C20" s="18" t="s">
        <v>0</v>
      </c>
      <c r="D20" s="32" t="s">
        <v>339</v>
      </c>
      <c r="E20" s="19" t="s">
        <v>0</v>
      </c>
      <c r="F20" s="20" t="b">
        <v>1</v>
      </c>
      <c r="G20" s="32" t="s">
        <v>339</v>
      </c>
      <c r="H20" s="29" t="s">
        <v>322</v>
      </c>
      <c r="I20" s="20">
        <v>-2</v>
      </c>
      <c r="J20">
        <v>0.9</v>
      </c>
      <c r="L20" t="b">
        <v>0</v>
      </c>
      <c r="M20" t="str">
        <f t="shared" si="0"/>
        <v>('2ff359d8-6468-40c5-92e2-a22118edc0e6','2024-02-26','866dabc4-6501-44d2-a0e5-65da9c45a46e','2024-02-26','866dabc4-6501-44d2-a0e5-65da9c45a46e',TRUE,'2024-02-26','001',-2,0.9,FALSE),</v>
      </c>
      <c r="O20" s="27" t="s">
        <v>311</v>
      </c>
      <c r="P20" t="str">
        <f t="shared" si="1"/>
        <v>2022-02-26</v>
      </c>
    </row>
    <row r="21" spans="1:16" x14ac:dyDescent="0.25">
      <c r="A21" t="s">
        <v>277</v>
      </c>
      <c r="B21" s="32" t="s">
        <v>340</v>
      </c>
      <c r="C21" s="18" t="s">
        <v>0</v>
      </c>
      <c r="D21" s="32" t="s">
        <v>340</v>
      </c>
      <c r="E21" s="19" t="s">
        <v>0</v>
      </c>
      <c r="F21" s="20" t="b">
        <v>1</v>
      </c>
      <c r="G21" s="32" t="s">
        <v>340</v>
      </c>
      <c r="H21" s="29" t="s">
        <v>322</v>
      </c>
      <c r="I21" s="20">
        <v>-2</v>
      </c>
      <c r="J21">
        <v>0.9</v>
      </c>
      <c r="L21" t="b">
        <v>0</v>
      </c>
      <c r="M21" t="str">
        <f t="shared" si="0"/>
        <v>('a4a91881-ece5-4dd4-8d43-144442abdf44','2024-02-29','866dabc4-6501-44d2-a0e5-65da9c45a46e','2024-02-29','866dabc4-6501-44d2-a0e5-65da9c45a46e',TRUE,'2024-02-29','001',-2,0.9,FALSE),</v>
      </c>
      <c r="O21" s="27" t="s">
        <v>312</v>
      </c>
      <c r="P21" t="str">
        <f t="shared" si="1"/>
        <v>2022-02-29</v>
      </c>
    </row>
    <row r="22" spans="1:16" x14ac:dyDescent="0.25">
      <c r="A22" t="s">
        <v>278</v>
      </c>
      <c r="B22" s="32" t="s">
        <v>341</v>
      </c>
      <c r="C22" s="18" t="s">
        <v>0</v>
      </c>
      <c r="D22" s="32" t="s">
        <v>341</v>
      </c>
      <c r="E22" s="19" t="s">
        <v>0</v>
      </c>
      <c r="F22" s="20" t="b">
        <v>1</v>
      </c>
      <c r="G22" s="32" t="s">
        <v>341</v>
      </c>
      <c r="H22" s="29" t="s">
        <v>322</v>
      </c>
      <c r="I22" s="20">
        <v>-2</v>
      </c>
      <c r="J22">
        <v>0.9</v>
      </c>
      <c r="L22" t="b">
        <v>0</v>
      </c>
      <c r="M22" t="str">
        <f t="shared" si="0"/>
        <v>('ca86ae54-93be-4929-b501-b8bbd491e22f','2024-03-04','866dabc4-6501-44d2-a0e5-65da9c45a46e','2024-03-04','866dabc4-6501-44d2-a0e5-65da9c45a46e',TRUE,'2024-03-04','001',-2,0.9,FALSE),</v>
      </c>
      <c r="O22" s="27" t="s">
        <v>314</v>
      </c>
      <c r="P22" t="str">
        <f t="shared" si="1"/>
        <v>2022-03-04</v>
      </c>
    </row>
    <row r="23" spans="1:16" x14ac:dyDescent="0.25">
      <c r="A23" t="s">
        <v>279</v>
      </c>
      <c r="B23" s="32" t="s">
        <v>342</v>
      </c>
      <c r="C23" s="18" t="s">
        <v>0</v>
      </c>
      <c r="D23" s="32" t="s">
        <v>342</v>
      </c>
      <c r="E23" s="19" t="s">
        <v>0</v>
      </c>
      <c r="F23" s="20" t="b">
        <v>1</v>
      </c>
      <c r="G23" s="32" t="s">
        <v>342</v>
      </c>
      <c r="H23" s="29" t="s">
        <v>322</v>
      </c>
      <c r="I23" s="20">
        <v>-2</v>
      </c>
      <c r="J23">
        <v>0.9</v>
      </c>
      <c r="L23" t="b">
        <v>0</v>
      </c>
      <c r="M23" t="str">
        <f t="shared" si="0"/>
        <v>('d34c3199-5b48-4553-8f42-5190fdf566bc','2024-03-07','866dabc4-6501-44d2-a0e5-65da9c45a46e','2024-03-07','866dabc4-6501-44d2-a0e5-65da9c45a46e',TRUE,'2024-03-07','001',-2,0.9,FALSE),</v>
      </c>
      <c r="O23" s="27" t="s">
        <v>315</v>
      </c>
      <c r="P23" t="str">
        <f t="shared" si="1"/>
        <v>2022-03-07</v>
      </c>
    </row>
    <row r="24" spans="1:16" x14ac:dyDescent="0.25">
      <c r="A24" t="s">
        <v>280</v>
      </c>
      <c r="B24" s="31" t="s">
        <v>343</v>
      </c>
      <c r="C24" s="18" t="s">
        <v>0</v>
      </c>
      <c r="D24" s="31" t="s">
        <v>343</v>
      </c>
      <c r="E24" s="19" t="s">
        <v>0</v>
      </c>
      <c r="F24" s="20" t="b">
        <v>1</v>
      </c>
      <c r="G24" s="31" t="s">
        <v>343</v>
      </c>
      <c r="H24" s="29" t="s">
        <v>322</v>
      </c>
      <c r="I24" s="20">
        <v>-2</v>
      </c>
      <c r="J24">
        <v>0.9</v>
      </c>
      <c r="L24" t="b">
        <v>0</v>
      </c>
      <c r="M24" t="str">
        <f t="shared" si="0"/>
        <v>('58b227c0-1d9e-4f48-913f-409d7203b345','2024-03-11','866dabc4-6501-44d2-a0e5-65da9c45a46e','2024-03-11','866dabc4-6501-44d2-a0e5-65da9c45a46e',TRUE,'2024-03-11','001',-2,0.9,FALSE),</v>
      </c>
      <c r="O24" s="26" t="s">
        <v>316</v>
      </c>
      <c r="P24" t="str">
        <f t="shared" si="1"/>
        <v>2025-03-11</v>
      </c>
    </row>
    <row r="25" spans="1:16" x14ac:dyDescent="0.25">
      <c r="A25" t="s">
        <v>281</v>
      </c>
      <c r="B25" s="31" t="s">
        <v>344</v>
      </c>
      <c r="C25" s="18" t="s">
        <v>0</v>
      </c>
      <c r="D25" s="31" t="s">
        <v>344</v>
      </c>
      <c r="E25" s="19" t="s">
        <v>0</v>
      </c>
      <c r="F25" s="20" t="b">
        <v>1</v>
      </c>
      <c r="G25" s="31" t="s">
        <v>344</v>
      </c>
      <c r="H25" s="29" t="s">
        <v>322</v>
      </c>
      <c r="I25" s="20">
        <v>-2</v>
      </c>
      <c r="J25">
        <v>0.9</v>
      </c>
      <c r="L25" t="b">
        <v>0</v>
      </c>
      <c r="M25" t="str">
        <f t="shared" si="0"/>
        <v>('765aff67-0102-4815-933d-79150e696e3a','2024-03-14','866dabc4-6501-44d2-a0e5-65da9c45a46e','2024-03-14','866dabc4-6501-44d2-a0e5-65da9c45a46e',TRUE,'2024-03-14','001',-2,0.9,FALSE),</v>
      </c>
      <c r="O25" s="26" t="s">
        <v>317</v>
      </c>
      <c r="P25" t="str">
        <f t="shared" si="1"/>
        <v>2025-03-14</v>
      </c>
    </row>
    <row r="26" spans="1:16" x14ac:dyDescent="0.25">
      <c r="A26" t="s">
        <v>282</v>
      </c>
      <c r="B26" s="31" t="s">
        <v>345</v>
      </c>
      <c r="C26" s="18" t="s">
        <v>0</v>
      </c>
      <c r="D26" s="31" t="s">
        <v>345</v>
      </c>
      <c r="E26" s="19" t="s">
        <v>0</v>
      </c>
      <c r="F26" s="20" t="b">
        <v>1</v>
      </c>
      <c r="G26" s="31" t="s">
        <v>345</v>
      </c>
      <c r="H26" s="29" t="s">
        <v>322</v>
      </c>
      <c r="I26" s="20">
        <v>-2</v>
      </c>
      <c r="J26">
        <v>0.9</v>
      </c>
      <c r="L26" t="b">
        <v>0</v>
      </c>
      <c r="M26" t="str">
        <f t="shared" si="0"/>
        <v>('dbc51cbb-c5d0-4808-9972-0aafa56dc684','2024-03-18','866dabc4-6501-44d2-a0e5-65da9c45a46e','2024-03-18','866dabc4-6501-44d2-a0e5-65da9c45a46e',TRUE,'2024-03-18','001',-2,0.9,FALSE),</v>
      </c>
      <c r="O26" s="26" t="s">
        <v>318</v>
      </c>
      <c r="P26" t="str">
        <f t="shared" si="1"/>
        <v>2025-03-18</v>
      </c>
    </row>
    <row r="27" spans="1:16" x14ac:dyDescent="0.25">
      <c r="A27" t="s">
        <v>283</v>
      </c>
      <c r="B27" s="31" t="s">
        <v>346</v>
      </c>
      <c r="C27" s="18" t="s">
        <v>0</v>
      </c>
      <c r="D27" s="31" t="s">
        <v>346</v>
      </c>
      <c r="E27" s="19" t="s">
        <v>0</v>
      </c>
      <c r="F27" s="20" t="b">
        <v>1</v>
      </c>
      <c r="G27" s="31" t="s">
        <v>346</v>
      </c>
      <c r="H27" s="29" t="s">
        <v>322</v>
      </c>
      <c r="I27" s="20">
        <v>-2</v>
      </c>
      <c r="J27">
        <v>0.9</v>
      </c>
      <c r="L27" t="b">
        <v>0</v>
      </c>
      <c r="M27" t="str">
        <f t="shared" si="0"/>
        <v>('646a54ef-f591-4084-acfa-458256cd4100','2024-03-21','866dabc4-6501-44d2-a0e5-65da9c45a46e','2024-03-21','866dabc4-6501-44d2-a0e5-65da9c45a46e',TRUE,'2024-03-21','001',-2,0.9,FALSE),</v>
      </c>
      <c r="O27" s="26" t="s">
        <v>319</v>
      </c>
      <c r="P27" t="str">
        <f t="shared" si="1"/>
        <v>2025-03-21</v>
      </c>
    </row>
    <row r="28" spans="1:16" x14ac:dyDescent="0.25">
      <c r="A28" t="s">
        <v>284</v>
      </c>
      <c r="B28" s="31" t="s">
        <v>347</v>
      </c>
      <c r="C28" s="18" t="s">
        <v>0</v>
      </c>
      <c r="D28" s="31" t="s">
        <v>347</v>
      </c>
      <c r="E28" s="19" t="s">
        <v>0</v>
      </c>
      <c r="F28" s="20" t="b">
        <v>1</v>
      </c>
      <c r="G28" s="31" t="s">
        <v>347</v>
      </c>
      <c r="H28" s="29" t="s">
        <v>322</v>
      </c>
      <c r="I28" s="20">
        <v>-2</v>
      </c>
      <c r="J28">
        <v>0.9</v>
      </c>
      <c r="L28" t="b">
        <v>0</v>
      </c>
      <c r="M28" t="str">
        <f t="shared" si="0"/>
        <v>('c015f3aa-3896-400c-8ec6-3603fffe6e5e','2024-03-25','866dabc4-6501-44d2-a0e5-65da9c45a46e','2024-03-25','866dabc4-6501-44d2-a0e5-65da9c45a46e',TRUE,'2024-03-25','001',-2,0.9,FALSE),</v>
      </c>
      <c r="O28" s="26" t="s">
        <v>320</v>
      </c>
      <c r="P28" t="str">
        <f t="shared" si="1"/>
        <v>2025-03-25</v>
      </c>
    </row>
    <row r="29" spans="1:16" x14ac:dyDescent="0.25">
      <c r="A29" t="s">
        <v>285</v>
      </c>
      <c r="B29" s="31" t="s">
        <v>348</v>
      </c>
      <c r="C29" s="18" t="s">
        <v>0</v>
      </c>
      <c r="D29" s="31" t="s">
        <v>348</v>
      </c>
      <c r="E29" s="19" t="s">
        <v>0</v>
      </c>
      <c r="F29" s="20" t="b">
        <v>1</v>
      </c>
      <c r="G29" s="31" t="s">
        <v>348</v>
      </c>
      <c r="H29" s="29" t="s">
        <v>322</v>
      </c>
      <c r="I29" s="20">
        <v>-2</v>
      </c>
      <c r="J29">
        <v>0.9</v>
      </c>
      <c r="L29" t="b">
        <v>0</v>
      </c>
      <c r="M29" t="str">
        <f t="shared" si="0"/>
        <v>('13317633-a358-438c-b0bc-e5c353ea44c8','2024-03-28','866dabc4-6501-44d2-a0e5-65da9c45a46e','2024-03-28','866dabc4-6501-44d2-a0e5-65da9c45a46e',TRUE,'2024-03-28','001',-2,0.9,FALSE),</v>
      </c>
      <c r="O29" s="26" t="s">
        <v>321</v>
      </c>
      <c r="P29" t="str">
        <f t="shared" si="1"/>
        <v>2025-03-28</v>
      </c>
    </row>
    <row r="30" spans="1:16" s="37" customFormat="1" x14ac:dyDescent="0.25">
      <c r="A30" s="39" t="s">
        <v>435</v>
      </c>
      <c r="B30" s="39" t="s">
        <v>350</v>
      </c>
      <c r="C30" s="39" t="s">
        <v>227</v>
      </c>
      <c r="D30" s="39" t="s">
        <v>350</v>
      </c>
      <c r="E30" s="40" t="s">
        <v>227</v>
      </c>
      <c r="F30" s="37" t="b">
        <v>1</v>
      </c>
      <c r="G30" s="39" t="s">
        <v>350</v>
      </c>
      <c r="H30" s="41" t="s">
        <v>322</v>
      </c>
      <c r="I30" s="37">
        <v>-2</v>
      </c>
      <c r="J30" s="37">
        <v>1.1000000000000001</v>
      </c>
      <c r="L30" s="37" t="b">
        <v>0</v>
      </c>
      <c r="M30" t="str">
        <f t="shared" si="0"/>
        <v>('853cd491-46bd-4fd6-952f-62973be65207','2024-07-02 16:24:00+00','00000000-0000-0000-0000-000000000000','2024-07-02 16:24:00+00','00000000-0000-0000-0000-000000000000',TRUE,'2024-07-02 16:24:00+00','001',-2,1.1,FALSE),</v>
      </c>
    </row>
    <row r="31" spans="1:16" x14ac:dyDescent="0.25">
      <c r="A31" s="16" t="s">
        <v>436</v>
      </c>
      <c r="B31" s="39" t="s">
        <v>351</v>
      </c>
      <c r="C31" s="21" t="s">
        <v>227</v>
      </c>
      <c r="D31" s="39" t="s">
        <v>351</v>
      </c>
      <c r="E31" s="22" t="s">
        <v>227</v>
      </c>
      <c r="F31" s="23" t="b">
        <v>1</v>
      </c>
      <c r="G31" s="39" t="s">
        <v>351</v>
      </c>
      <c r="H31" s="30" t="s">
        <v>322</v>
      </c>
      <c r="I31" s="20">
        <v>-2</v>
      </c>
      <c r="J31">
        <v>1.1000000000000001</v>
      </c>
      <c r="L31" t="b">
        <v>0</v>
      </c>
      <c r="M31" t="str">
        <f t="shared" si="0"/>
        <v>('e5912eaf-81c5-44a9-86af-273801caa87d','2024-07-04 16:24:00+00','00000000-0000-0000-0000-000000000000','2024-07-04 16:24:00+00','00000000-0000-0000-0000-000000000000',TRUE,'2024-07-04 16:24:00+00','001',-2,1.1,FALSE),</v>
      </c>
    </row>
    <row r="32" spans="1:16" x14ac:dyDescent="0.25">
      <c r="A32" s="16" t="s">
        <v>437</v>
      </c>
      <c r="B32" s="39" t="s">
        <v>352</v>
      </c>
      <c r="C32" s="21" t="s">
        <v>227</v>
      </c>
      <c r="D32" s="39" t="s">
        <v>352</v>
      </c>
      <c r="E32" s="22" t="s">
        <v>227</v>
      </c>
      <c r="F32" s="23" t="b">
        <v>1</v>
      </c>
      <c r="G32" s="39" t="s">
        <v>352</v>
      </c>
      <c r="H32" s="41" t="s">
        <v>322</v>
      </c>
      <c r="I32" s="20">
        <v>-2</v>
      </c>
      <c r="J32">
        <v>1.1000000000000001</v>
      </c>
      <c r="L32" t="b">
        <v>0</v>
      </c>
      <c r="M32" t="str">
        <f t="shared" si="0"/>
        <v>('3d81581b-ce4f-4225-80d5-baf510a3e1dc','2024-07-06 16:24:00+00','00000000-0000-0000-0000-000000000000','2024-07-06 16:24:00+00','00000000-0000-0000-0000-000000000000',TRUE,'2024-07-06 16:24:00+00','001',-2,1.1,FALSE),</v>
      </c>
    </row>
    <row r="33" spans="1:13" x14ac:dyDescent="0.25">
      <c r="A33" s="16" t="s">
        <v>438</v>
      </c>
      <c r="B33" s="39" t="s">
        <v>353</v>
      </c>
      <c r="C33" s="21" t="s">
        <v>227</v>
      </c>
      <c r="D33" s="39" t="s">
        <v>353</v>
      </c>
      <c r="E33" s="22" t="s">
        <v>227</v>
      </c>
      <c r="F33" s="23" t="b">
        <v>1</v>
      </c>
      <c r="G33" s="39" t="s">
        <v>353</v>
      </c>
      <c r="H33" s="30" t="s">
        <v>322</v>
      </c>
      <c r="I33" s="20">
        <v>-2</v>
      </c>
      <c r="J33">
        <v>1.1000000000000001</v>
      </c>
      <c r="L33" t="b">
        <v>0</v>
      </c>
      <c r="M33" t="str">
        <f t="shared" si="0"/>
        <v>('253c944c-f6c5-4fdc-ae85-ecc1ccefe47a','2024-07-09 16:24:00+00','00000000-0000-0000-0000-000000000000','2024-07-09 16:24:00+00','00000000-0000-0000-0000-000000000000',TRUE,'2024-07-09 16:24:00+00','001',-2,1.1,FALSE),</v>
      </c>
    </row>
    <row r="34" spans="1:13" x14ac:dyDescent="0.25">
      <c r="A34" s="16" t="s">
        <v>439</v>
      </c>
      <c r="B34" s="39" t="s">
        <v>354</v>
      </c>
      <c r="C34" s="21" t="s">
        <v>227</v>
      </c>
      <c r="D34" s="39" t="s">
        <v>354</v>
      </c>
      <c r="E34" s="22" t="s">
        <v>227</v>
      </c>
      <c r="F34" s="23" t="b">
        <v>1</v>
      </c>
      <c r="G34" s="39" t="s">
        <v>354</v>
      </c>
      <c r="H34" s="41" t="s">
        <v>322</v>
      </c>
      <c r="I34" s="20">
        <v>-2</v>
      </c>
      <c r="J34">
        <v>1.1000000000000001</v>
      </c>
      <c r="L34" t="b">
        <v>0</v>
      </c>
      <c r="M34" t="str">
        <f t="shared" si="0"/>
        <v>('9fae4030-d6d2-41d4-9ff7-9a577775a667','2024-07-11 16:24:00+00','00000000-0000-0000-0000-000000000000','2024-07-11 16:24:00+00','00000000-0000-0000-0000-000000000000',TRUE,'2024-07-11 16:24:00+00','001',-2,1.1,FALSE),</v>
      </c>
    </row>
    <row r="35" spans="1:13" x14ac:dyDescent="0.25">
      <c r="A35" s="16" t="s">
        <v>440</v>
      </c>
      <c r="B35" s="39" t="s">
        <v>355</v>
      </c>
      <c r="C35" s="21" t="s">
        <v>227</v>
      </c>
      <c r="D35" s="39" t="s">
        <v>355</v>
      </c>
      <c r="E35" s="22" t="s">
        <v>227</v>
      </c>
      <c r="F35" s="23" t="b">
        <v>1</v>
      </c>
      <c r="G35" s="39" t="s">
        <v>355</v>
      </c>
      <c r="H35" s="30" t="s">
        <v>322</v>
      </c>
      <c r="I35" s="20">
        <v>-2</v>
      </c>
      <c r="J35">
        <v>1.1000000000000001</v>
      </c>
      <c r="L35" t="b">
        <v>0</v>
      </c>
      <c r="M35" t="str">
        <f t="shared" si="0"/>
        <v>('c5dc6c1d-5a22-43df-a9c1-0850f2024eef','2024-07-13 16:24:00+00','00000000-0000-0000-0000-000000000000','2024-07-13 16:24:00+00','00000000-0000-0000-0000-000000000000',TRUE,'2024-07-13 16:24:00+00','001',-2,1.1,FALSE),</v>
      </c>
    </row>
    <row r="36" spans="1:13" x14ac:dyDescent="0.25">
      <c r="A36" s="16" t="s">
        <v>441</v>
      </c>
      <c r="B36" s="39" t="s">
        <v>356</v>
      </c>
      <c r="C36" s="21" t="s">
        <v>227</v>
      </c>
      <c r="D36" s="39" t="s">
        <v>356</v>
      </c>
      <c r="E36" s="22" t="s">
        <v>227</v>
      </c>
      <c r="F36" s="23" t="b">
        <v>1</v>
      </c>
      <c r="G36" s="39" t="s">
        <v>356</v>
      </c>
      <c r="H36" s="41" t="s">
        <v>322</v>
      </c>
      <c r="I36" s="20">
        <v>-2</v>
      </c>
      <c r="J36">
        <v>1.1000000000000001</v>
      </c>
      <c r="L36" t="b">
        <v>0</v>
      </c>
      <c r="M36" t="str">
        <f t="shared" si="0"/>
        <v>('750751cb-83ac-40b2-996c-e97290cbc4c2','2024-07-16 16:24:00+00','00000000-0000-0000-0000-000000000000','2024-07-16 16:24:00+00','00000000-0000-0000-0000-000000000000',TRUE,'2024-07-16 16:24:00+00','001',-2,1.1,FALSE),</v>
      </c>
    </row>
    <row r="37" spans="1:13" x14ac:dyDescent="0.25">
      <c r="A37" s="16" t="s">
        <v>442</v>
      </c>
      <c r="B37" s="39" t="s">
        <v>357</v>
      </c>
      <c r="C37" s="21" t="s">
        <v>227</v>
      </c>
      <c r="D37" s="39" t="s">
        <v>357</v>
      </c>
      <c r="E37" s="22" t="s">
        <v>227</v>
      </c>
      <c r="F37" s="23" t="b">
        <v>1</v>
      </c>
      <c r="G37" s="39" t="s">
        <v>357</v>
      </c>
      <c r="H37" s="30" t="s">
        <v>322</v>
      </c>
      <c r="I37" s="20">
        <v>-2</v>
      </c>
      <c r="J37">
        <v>1.1000000000000001</v>
      </c>
      <c r="L37" t="b">
        <v>0</v>
      </c>
      <c r="M37" t="str">
        <f t="shared" si="0"/>
        <v>('bdbd6bfc-469c-42b0-9a3d-7cd9fc37b4e3','2024-07-18 16:24:00+00','00000000-0000-0000-0000-000000000000','2024-07-18 16:24:00+00','00000000-0000-0000-0000-000000000000',TRUE,'2024-07-18 16:24:00+00','001',-2,1.1,FALSE),</v>
      </c>
    </row>
    <row r="38" spans="1:13" x14ac:dyDescent="0.25">
      <c r="A38" s="16" t="s">
        <v>443</v>
      </c>
      <c r="B38" s="39" t="s">
        <v>358</v>
      </c>
      <c r="C38" s="21" t="s">
        <v>227</v>
      </c>
      <c r="D38" s="39" t="s">
        <v>358</v>
      </c>
      <c r="E38" s="22" t="s">
        <v>227</v>
      </c>
      <c r="F38" s="23" t="b">
        <v>1</v>
      </c>
      <c r="G38" s="39" t="s">
        <v>358</v>
      </c>
      <c r="H38" s="41" t="s">
        <v>322</v>
      </c>
      <c r="I38" s="20">
        <v>-2</v>
      </c>
      <c r="J38">
        <v>1.1000000000000001</v>
      </c>
      <c r="L38" t="b">
        <v>0</v>
      </c>
      <c r="M38" t="str">
        <f t="shared" si="0"/>
        <v>('6b2e3647-3733-4fe9-bfbb-a020ed50d152','2024-07-20 16:24:00+00','00000000-0000-0000-0000-000000000000','2024-07-20 16:24:00+00','00000000-0000-0000-0000-000000000000',TRUE,'2024-07-20 16:24:00+00','001',-2,1.1,FALSE),</v>
      </c>
    </row>
    <row r="39" spans="1:13" x14ac:dyDescent="0.25">
      <c r="A39" s="16" t="s">
        <v>444</v>
      </c>
      <c r="B39" s="39" t="s">
        <v>359</v>
      </c>
      <c r="C39" s="21" t="s">
        <v>227</v>
      </c>
      <c r="D39" s="39" t="s">
        <v>359</v>
      </c>
      <c r="E39" s="22" t="s">
        <v>227</v>
      </c>
      <c r="F39" s="23" t="b">
        <v>1</v>
      </c>
      <c r="G39" s="39" t="s">
        <v>359</v>
      </c>
      <c r="H39" s="30" t="s">
        <v>322</v>
      </c>
      <c r="I39" s="20">
        <v>-2</v>
      </c>
      <c r="J39">
        <v>1.1000000000000001</v>
      </c>
      <c r="L39" t="b">
        <v>0</v>
      </c>
      <c r="M39" t="str">
        <f t="shared" si="0"/>
        <v>('08ef38b1-3173-449d-9ffa-86ed01cd59a8','2024-07-23 16:24:00+00','00000000-0000-0000-0000-000000000000','2024-07-23 16:24:00+00','00000000-0000-0000-0000-000000000000',TRUE,'2024-07-23 16:24:00+00','001',-2,1.1,FALSE),</v>
      </c>
    </row>
    <row r="40" spans="1:13" x14ac:dyDescent="0.25">
      <c r="A40" s="16" t="s">
        <v>445</v>
      </c>
      <c r="B40" s="39" t="s">
        <v>360</v>
      </c>
      <c r="C40" s="21" t="s">
        <v>227</v>
      </c>
      <c r="D40" s="39" t="s">
        <v>360</v>
      </c>
      <c r="E40" s="22" t="s">
        <v>227</v>
      </c>
      <c r="F40" s="23" t="b">
        <v>1</v>
      </c>
      <c r="G40" s="39" t="s">
        <v>360</v>
      </c>
      <c r="H40" s="41" t="s">
        <v>322</v>
      </c>
      <c r="I40" s="20">
        <v>-2</v>
      </c>
      <c r="J40">
        <v>1.1000000000000001</v>
      </c>
      <c r="L40" t="b">
        <v>0</v>
      </c>
      <c r="M40" t="str">
        <f t="shared" si="0"/>
        <v>('76aa31e9-06b6-4667-b459-b0fa47fbccc6','2024-07-25 16:24:00+00','00000000-0000-0000-0000-000000000000','2024-07-25 16:24:00+00','00000000-0000-0000-0000-000000000000',TRUE,'2024-07-25 16:24:00+00','001',-2,1.1,FALSE),</v>
      </c>
    </row>
    <row r="41" spans="1:13" x14ac:dyDescent="0.25">
      <c r="A41" s="24" t="s">
        <v>228</v>
      </c>
      <c r="B41" s="39" t="s">
        <v>361</v>
      </c>
      <c r="C41" s="21" t="s">
        <v>227</v>
      </c>
      <c r="D41" s="39" t="s">
        <v>361</v>
      </c>
      <c r="E41" s="22" t="s">
        <v>227</v>
      </c>
      <c r="F41" s="23" t="b">
        <v>1</v>
      </c>
      <c r="G41" s="39" t="s">
        <v>361</v>
      </c>
      <c r="H41" s="30" t="s">
        <v>322</v>
      </c>
      <c r="I41" s="20">
        <v>-2</v>
      </c>
      <c r="J41">
        <v>1.1000000000000001</v>
      </c>
      <c r="L41" t="b">
        <v>0</v>
      </c>
      <c r="M41" t="str">
        <f t="shared" si="0"/>
        <v>('9e216765-0bed-425d-9949-2969c16ea36c','2024-07-27 16:24:00+00','00000000-0000-0000-0000-000000000000','2024-07-27 16:24:00+00','00000000-0000-0000-0000-000000000000',TRUE,'2024-07-27 16:24:00+00','001',-2,1.1,FALSE),</v>
      </c>
    </row>
    <row r="42" spans="1:13" x14ac:dyDescent="0.25">
      <c r="A42" s="21" t="s">
        <v>229</v>
      </c>
      <c r="B42" s="39" t="s">
        <v>362</v>
      </c>
      <c r="C42" s="21" t="s">
        <v>227</v>
      </c>
      <c r="D42" s="39" t="s">
        <v>362</v>
      </c>
      <c r="E42" s="22" t="s">
        <v>227</v>
      </c>
      <c r="F42" s="23" t="b">
        <v>1</v>
      </c>
      <c r="G42" s="39" t="s">
        <v>362</v>
      </c>
      <c r="H42" s="41" t="s">
        <v>322</v>
      </c>
      <c r="I42" s="20">
        <v>-2</v>
      </c>
      <c r="J42">
        <v>1.1000000000000001</v>
      </c>
      <c r="L42" t="b">
        <v>0</v>
      </c>
      <c r="M42" t="str">
        <f t="shared" si="0"/>
        <v>('6270beff-f9cb-4b78-8764-9d0214c83ead','2024-08-30 16:24:00+00','00000000-0000-0000-0000-000000000000','2024-08-30 16:24:00+00','00000000-0000-0000-0000-000000000000',TRUE,'2024-08-30 16:24:00+00','001',-2,1.1,FALSE),</v>
      </c>
    </row>
    <row r="43" spans="1:13" x14ac:dyDescent="0.25">
      <c r="A43" s="21" t="s">
        <v>230</v>
      </c>
      <c r="B43" s="39" t="s">
        <v>363</v>
      </c>
      <c r="C43" s="21" t="s">
        <v>227</v>
      </c>
      <c r="D43" s="39" t="s">
        <v>363</v>
      </c>
      <c r="E43" s="22" t="s">
        <v>227</v>
      </c>
      <c r="F43" s="23" t="b">
        <v>1</v>
      </c>
      <c r="G43" s="39" t="s">
        <v>363</v>
      </c>
      <c r="H43" s="30" t="s">
        <v>322</v>
      </c>
      <c r="I43" s="20">
        <v>-2</v>
      </c>
      <c r="J43">
        <v>1.1000000000000001</v>
      </c>
      <c r="L43" t="b">
        <v>0</v>
      </c>
      <c r="M43" t="str">
        <f t="shared" si="0"/>
        <v>('0528f4b2-0f91-4706-88e6-d710bb3c35f0','2024-08-01 16:24:00+00','00000000-0000-0000-0000-000000000000','2024-08-01 16:24:00+00','00000000-0000-0000-0000-000000000000',TRUE,'2024-08-01 16:24:00+00','001',-2,1.1,FALSE),</v>
      </c>
    </row>
    <row r="44" spans="1:13" x14ac:dyDescent="0.25">
      <c r="A44" s="21" t="s">
        <v>231</v>
      </c>
      <c r="B44" s="39" t="s">
        <v>364</v>
      </c>
      <c r="C44" s="21" t="s">
        <v>227</v>
      </c>
      <c r="D44" s="39" t="s">
        <v>364</v>
      </c>
      <c r="E44" s="22" t="s">
        <v>227</v>
      </c>
      <c r="F44" s="23" t="b">
        <v>1</v>
      </c>
      <c r="G44" s="39" t="s">
        <v>364</v>
      </c>
      <c r="H44" s="41" t="s">
        <v>322</v>
      </c>
      <c r="I44" s="20">
        <v>-2</v>
      </c>
      <c r="J44">
        <v>1.1000000000000001</v>
      </c>
      <c r="L44" t="b">
        <v>0</v>
      </c>
      <c r="M44" t="str">
        <f t="shared" si="0"/>
        <v>('04ed1a66-1482-48a9-bdc6-d0f1287d034c','2024-08-03 16:24:00+00','00000000-0000-0000-0000-000000000000','2024-08-03 16:24:00+00','00000000-0000-0000-0000-000000000000',TRUE,'2024-08-03 16:24:00+00','001',-2,1.1,FALSE),</v>
      </c>
    </row>
    <row r="45" spans="1:13" x14ac:dyDescent="0.25">
      <c r="A45" s="21" t="s">
        <v>232</v>
      </c>
      <c r="B45" s="39" t="s">
        <v>365</v>
      </c>
      <c r="C45" s="21" t="s">
        <v>227</v>
      </c>
      <c r="D45" s="39" t="s">
        <v>365</v>
      </c>
      <c r="E45" s="22" t="s">
        <v>227</v>
      </c>
      <c r="F45" s="23" t="b">
        <v>1</v>
      </c>
      <c r="G45" s="39" t="s">
        <v>365</v>
      </c>
      <c r="H45" s="30" t="s">
        <v>322</v>
      </c>
      <c r="I45" s="20">
        <v>-2</v>
      </c>
      <c r="J45">
        <v>1.1000000000000001</v>
      </c>
      <c r="L45" t="b">
        <v>0</v>
      </c>
      <c r="M45" t="str">
        <f t="shared" si="0"/>
        <v>('b4b11d38-b0b0-4ddd-9a20-6efa35febc82','2024-08-06 16:24:00+01','00000000-0000-0000-0000-000000000000','2024-08-06 16:24:00+01','00000000-0000-0000-0000-000000000000',TRUE,'2024-08-06 16:24:00+01','001',-2,1.1,FALSE),</v>
      </c>
    </row>
    <row r="46" spans="1:13" x14ac:dyDescent="0.25">
      <c r="A46" s="21" t="s">
        <v>233</v>
      </c>
      <c r="B46" s="39" t="s">
        <v>366</v>
      </c>
      <c r="C46" s="21" t="s">
        <v>227</v>
      </c>
      <c r="D46" s="39" t="s">
        <v>366</v>
      </c>
      <c r="E46" s="22" t="s">
        <v>227</v>
      </c>
      <c r="F46" s="23" t="b">
        <v>1</v>
      </c>
      <c r="G46" s="39" t="s">
        <v>366</v>
      </c>
      <c r="H46" s="41" t="s">
        <v>322</v>
      </c>
      <c r="I46" s="20">
        <v>-2</v>
      </c>
      <c r="J46">
        <v>1.1000000000000001</v>
      </c>
      <c r="L46" t="b">
        <v>0</v>
      </c>
      <c r="M46" t="str">
        <f t="shared" si="0"/>
        <v>('dd304352-2cad-464c-8e6e-2d44a1081de0','2024-08-08 16:24:00+01','00000000-0000-0000-0000-000000000000','2024-08-08 16:24:00+01','00000000-0000-0000-0000-000000000000',TRUE,'2024-08-08 16:24:00+01','001',-2,1.1,FALSE),</v>
      </c>
    </row>
    <row r="47" spans="1:13" x14ac:dyDescent="0.25">
      <c r="A47" s="21" t="s">
        <v>234</v>
      </c>
      <c r="B47" s="39" t="s">
        <v>367</v>
      </c>
      <c r="C47" s="21" t="s">
        <v>227</v>
      </c>
      <c r="D47" s="39" t="s">
        <v>367</v>
      </c>
      <c r="E47" s="22" t="s">
        <v>227</v>
      </c>
      <c r="F47" s="23" t="b">
        <v>1</v>
      </c>
      <c r="G47" s="39" t="s">
        <v>367</v>
      </c>
      <c r="H47" s="30" t="s">
        <v>322</v>
      </c>
      <c r="I47" s="20">
        <v>-2</v>
      </c>
      <c r="J47">
        <v>1.1000000000000001</v>
      </c>
      <c r="L47" t="b">
        <v>0</v>
      </c>
      <c r="M47" t="str">
        <f t="shared" si="0"/>
        <v>('84632692-3efe-4c42-a43c-57c2beda1cf9','2024-08-10 16:24:00+01','00000000-0000-0000-0000-000000000000','2024-08-10 16:24:00+01','00000000-0000-0000-0000-000000000000',TRUE,'2024-08-10 16:24:00+01','001',-2,1.1,FALSE),</v>
      </c>
    </row>
    <row r="48" spans="1:13" x14ac:dyDescent="0.25">
      <c r="A48" s="21" t="s">
        <v>235</v>
      </c>
      <c r="B48" s="39" t="s">
        <v>368</v>
      </c>
      <c r="C48" s="21" t="s">
        <v>227</v>
      </c>
      <c r="D48" s="39" t="s">
        <v>368</v>
      </c>
      <c r="E48" s="22" t="s">
        <v>227</v>
      </c>
      <c r="F48" s="23" t="b">
        <v>1</v>
      </c>
      <c r="G48" s="39" t="s">
        <v>368</v>
      </c>
      <c r="H48" s="41" t="s">
        <v>322</v>
      </c>
      <c r="I48" s="20">
        <v>-2</v>
      </c>
      <c r="J48">
        <v>1.1000000000000001</v>
      </c>
      <c r="L48" t="b">
        <v>0</v>
      </c>
      <c r="M48" t="str">
        <f t="shared" si="0"/>
        <v>('a24e3e8c-2d09-418e-ad80-75f83e26bd14','2024-08-13 16:24:00+02','00000000-0000-0000-0000-000000000000','2024-08-13 16:24:00+02','00000000-0000-0000-0000-000000000000',TRUE,'2024-08-13 16:24:00+02','001',-2,1.1,FALSE),</v>
      </c>
    </row>
    <row r="49" spans="1:13" x14ac:dyDescent="0.25">
      <c r="A49" s="21" t="s">
        <v>236</v>
      </c>
      <c r="B49" s="39" t="s">
        <v>369</v>
      </c>
      <c r="C49" s="21" t="s">
        <v>227</v>
      </c>
      <c r="D49" s="39" t="s">
        <v>369</v>
      </c>
      <c r="E49" s="22" t="s">
        <v>227</v>
      </c>
      <c r="F49" s="23" t="b">
        <v>1</v>
      </c>
      <c r="G49" s="39" t="s">
        <v>369</v>
      </c>
      <c r="H49" s="30" t="s">
        <v>322</v>
      </c>
      <c r="I49" s="20">
        <v>-2</v>
      </c>
      <c r="J49">
        <v>1.1000000000000001</v>
      </c>
      <c r="L49" t="b">
        <v>0</v>
      </c>
      <c r="M49" t="str">
        <f t="shared" si="0"/>
        <v>('f582ff77-c072-4f18-9de1-931f44800f61','2024-08-15 16:24:00+02','00000000-0000-0000-0000-000000000000','2024-08-15 16:24:00+02','00000000-0000-0000-0000-000000000000',TRUE,'2024-08-15 16:24:00+02','001',-2,1.1,FALSE),</v>
      </c>
    </row>
    <row r="50" spans="1:13" x14ac:dyDescent="0.25">
      <c r="A50" s="21" t="s">
        <v>237</v>
      </c>
      <c r="B50" s="39" t="s">
        <v>370</v>
      </c>
      <c r="C50" s="21" t="s">
        <v>227</v>
      </c>
      <c r="D50" s="39" t="s">
        <v>370</v>
      </c>
      <c r="E50" s="22" t="s">
        <v>227</v>
      </c>
      <c r="F50" s="23" t="b">
        <v>1</v>
      </c>
      <c r="G50" s="39" t="s">
        <v>370</v>
      </c>
      <c r="H50" s="41" t="s">
        <v>322</v>
      </c>
      <c r="I50" s="20">
        <v>-2</v>
      </c>
      <c r="J50">
        <v>1.1000000000000001</v>
      </c>
      <c r="L50" t="b">
        <v>0</v>
      </c>
      <c r="M50" t="str">
        <f t="shared" si="0"/>
        <v>('deb290bb-a3b5-4e5c-b6e3-8f50e18ee0bf','2024-08-17 16:24:00+02','00000000-0000-0000-0000-000000000000','2024-08-17 16:24:00+02','00000000-0000-0000-0000-000000000000',TRUE,'2024-08-17 16:24:00+02','001',-2,1.1,FALSE),</v>
      </c>
    </row>
    <row r="51" spans="1:13" x14ac:dyDescent="0.25">
      <c r="A51" s="21" t="s">
        <v>238</v>
      </c>
      <c r="B51" s="39" t="s">
        <v>371</v>
      </c>
      <c r="C51" s="21" t="s">
        <v>227</v>
      </c>
      <c r="D51" s="39" t="s">
        <v>371</v>
      </c>
      <c r="E51" s="22" t="s">
        <v>227</v>
      </c>
      <c r="F51" s="23" t="b">
        <v>1</v>
      </c>
      <c r="G51" s="39" t="s">
        <v>371</v>
      </c>
      <c r="H51" s="30" t="s">
        <v>322</v>
      </c>
      <c r="I51" s="20">
        <v>-2</v>
      </c>
      <c r="J51">
        <v>1.1000000000000001</v>
      </c>
      <c r="L51" t="b">
        <v>0</v>
      </c>
      <c r="M51" t="str">
        <f t="shared" si="0"/>
        <v>('e98b8680-c585-4034-b764-b60ac04aa061','2024-08-20 16:24:00+03','00000000-0000-0000-0000-000000000000','2024-08-20 16:24:00+03','00000000-0000-0000-0000-000000000000',TRUE,'2024-08-20 16:24:00+03','001',-2,1.1,FALSE),</v>
      </c>
    </row>
    <row r="52" spans="1:13" x14ac:dyDescent="0.25">
      <c r="A52" s="21" t="s">
        <v>239</v>
      </c>
      <c r="B52" s="39" t="s">
        <v>372</v>
      </c>
      <c r="C52" s="21" t="s">
        <v>227</v>
      </c>
      <c r="D52" s="39" t="s">
        <v>372</v>
      </c>
      <c r="E52" s="22" t="s">
        <v>227</v>
      </c>
      <c r="F52" s="23" t="b">
        <v>1</v>
      </c>
      <c r="G52" s="39" t="s">
        <v>372</v>
      </c>
      <c r="H52" s="41" t="s">
        <v>322</v>
      </c>
      <c r="I52" s="20">
        <v>-2</v>
      </c>
      <c r="J52">
        <v>1.1000000000000001</v>
      </c>
      <c r="L52" t="b">
        <v>0</v>
      </c>
      <c r="M52" t="str">
        <f t="shared" si="0"/>
        <v>('13988560-766b-4638-ae95-508b5455f121','2024-08-22 16:24:00+03','00000000-0000-0000-0000-000000000000','2024-08-22 16:24:00+03','00000000-0000-0000-0000-000000000000',TRUE,'2024-08-22 16:24:00+03','001',-2,1.1,FALSE),</v>
      </c>
    </row>
    <row r="53" spans="1:13" x14ac:dyDescent="0.25">
      <c r="A53" s="21" t="s">
        <v>240</v>
      </c>
      <c r="B53" s="39" t="s">
        <v>373</v>
      </c>
      <c r="C53" s="21" t="s">
        <v>227</v>
      </c>
      <c r="D53" s="39" t="s">
        <v>373</v>
      </c>
      <c r="E53" s="22" t="s">
        <v>227</v>
      </c>
      <c r="F53" s="23" t="b">
        <v>1</v>
      </c>
      <c r="G53" s="39" t="s">
        <v>373</v>
      </c>
      <c r="H53" s="30" t="s">
        <v>322</v>
      </c>
      <c r="I53" s="20">
        <v>-2</v>
      </c>
      <c r="J53">
        <v>1.1000000000000001</v>
      </c>
      <c r="L53" t="b">
        <v>0</v>
      </c>
      <c r="M53" t="str">
        <f t="shared" si="0"/>
        <v>('e01f1eaf-f0ec-43f5-bfbb-6b9f36769617','2024-08-24 16:24:00+03','00000000-0000-0000-0000-000000000000','2024-08-24 16:24:00+03','00000000-0000-0000-0000-000000000000',TRUE,'2024-08-24 16:24:00+03','001',-2,1.1,FALSE),</v>
      </c>
    </row>
    <row r="54" spans="1:13" x14ac:dyDescent="0.25">
      <c r="A54" s="21" t="s">
        <v>241</v>
      </c>
      <c r="B54" s="39" t="s">
        <v>374</v>
      </c>
      <c r="C54" s="21" t="s">
        <v>227</v>
      </c>
      <c r="D54" s="39" t="s">
        <v>374</v>
      </c>
      <c r="E54" s="22" t="s">
        <v>227</v>
      </c>
      <c r="F54" s="23" t="b">
        <v>1</v>
      </c>
      <c r="G54" s="39" t="s">
        <v>374</v>
      </c>
      <c r="H54" s="41" t="s">
        <v>322</v>
      </c>
      <c r="I54" s="20">
        <v>-2</v>
      </c>
      <c r="J54">
        <v>1.1000000000000001</v>
      </c>
      <c r="L54" t="b">
        <v>0</v>
      </c>
      <c r="M54" t="str">
        <f t="shared" si="0"/>
        <v>('d9fdba0a-0352-4501-aaac-061e4c84435a','2024-08-27 16:24:00+04','00000000-0000-0000-0000-000000000000','2024-08-27 16:24:00+04','00000000-0000-0000-0000-000000000000',TRUE,'2024-08-27 16:24:00+04','001',-2,1.1,FALSE),</v>
      </c>
    </row>
    <row r="55" spans="1:13" x14ac:dyDescent="0.25">
      <c r="A55" s="21" t="s">
        <v>242</v>
      </c>
      <c r="B55" s="39" t="s">
        <v>375</v>
      </c>
      <c r="C55" s="21" t="s">
        <v>227</v>
      </c>
      <c r="D55" s="39" t="s">
        <v>375</v>
      </c>
      <c r="E55" s="22" t="s">
        <v>227</v>
      </c>
      <c r="F55" s="23" t="b">
        <v>1</v>
      </c>
      <c r="G55" s="39" t="s">
        <v>375</v>
      </c>
      <c r="H55" s="30" t="s">
        <v>322</v>
      </c>
      <c r="I55" s="20">
        <v>-2</v>
      </c>
      <c r="J55">
        <v>1.1000000000000001</v>
      </c>
      <c r="L55" t="b">
        <v>0</v>
      </c>
      <c r="M55" t="str">
        <f t="shared" si="0"/>
        <v>('ef696d55-118d-4822-95c8-a8816a3117e8','2024-08-29 16:24:00+04','00000000-0000-0000-0000-000000000000','2024-08-29 16:24:00+04','00000000-0000-0000-0000-000000000000',TRUE,'2024-08-29 16:24:00+04','001',-2,1.1,FALSE),</v>
      </c>
    </row>
    <row r="56" spans="1:13" x14ac:dyDescent="0.25">
      <c r="A56" s="21" t="s">
        <v>419</v>
      </c>
      <c r="B56" s="39" t="s">
        <v>376</v>
      </c>
      <c r="C56" s="21" t="s">
        <v>227</v>
      </c>
      <c r="D56" s="39" t="s">
        <v>376</v>
      </c>
      <c r="E56" s="22" t="s">
        <v>227</v>
      </c>
      <c r="F56" s="23" t="b">
        <v>1</v>
      </c>
      <c r="G56" s="39" t="s">
        <v>376</v>
      </c>
      <c r="H56" s="41" t="s">
        <v>322</v>
      </c>
      <c r="I56" s="20">
        <v>-2</v>
      </c>
      <c r="J56">
        <v>1.1000000000000001</v>
      </c>
      <c r="L56" t="b">
        <v>0</v>
      </c>
      <c r="M56" t="str">
        <f t="shared" si="0"/>
        <v>('efd15579-d91d-44c4-8db9-4d83f9bdbf34','2024-08-31 16:24:00+04','00000000-0000-0000-0000-000000000000','2024-08-31 16:24:00+04','00000000-0000-0000-0000-000000000000',TRUE,'2024-08-31 16:24:00+04','001',-2,1.1,FALSE),</v>
      </c>
    </row>
    <row r="57" spans="1:13" x14ac:dyDescent="0.25">
      <c r="A57" s="21" t="s">
        <v>420</v>
      </c>
      <c r="B57" s="39" t="s">
        <v>377</v>
      </c>
      <c r="C57" s="21" t="s">
        <v>227</v>
      </c>
      <c r="D57" s="39" t="s">
        <v>377</v>
      </c>
      <c r="E57" s="22" t="s">
        <v>227</v>
      </c>
      <c r="F57" s="23" t="b">
        <v>1</v>
      </c>
      <c r="G57" s="39" t="s">
        <v>377</v>
      </c>
      <c r="H57" s="30" t="s">
        <v>322</v>
      </c>
      <c r="I57" s="20">
        <v>-2</v>
      </c>
      <c r="J57">
        <v>1.1000000000000001</v>
      </c>
      <c r="L57" t="b">
        <v>0</v>
      </c>
      <c r="M57" t="str">
        <f t="shared" si="0"/>
        <v>('72ce7e62-71dc-4d5d-a8a5-9eda04222611','2024-09-03 16:24:00+00','00000000-0000-0000-0000-000000000000','2024-09-03 16:24:00+00','00000000-0000-0000-0000-000000000000',TRUE,'2024-09-03 16:24:00+00','001',-2,1.1,FALSE),</v>
      </c>
    </row>
    <row r="58" spans="1:13" x14ac:dyDescent="0.25">
      <c r="A58" s="21" t="s">
        <v>421</v>
      </c>
      <c r="B58" s="39" t="s">
        <v>381</v>
      </c>
      <c r="C58" s="21" t="s">
        <v>227</v>
      </c>
      <c r="D58" s="39" t="s">
        <v>381</v>
      </c>
      <c r="E58" s="22" t="s">
        <v>227</v>
      </c>
      <c r="F58" s="23" t="b">
        <v>1</v>
      </c>
      <c r="G58" s="39" t="s">
        <v>381</v>
      </c>
      <c r="H58" s="41" t="s">
        <v>322</v>
      </c>
      <c r="I58" s="20">
        <v>-2</v>
      </c>
      <c r="J58">
        <v>1.1000000000000001</v>
      </c>
      <c r="L58" t="b">
        <v>0</v>
      </c>
      <c r="M58" t="str">
        <f t="shared" si="0"/>
        <v>('83504381-69f1-4445-b6ff-0c928b0fdd75','2024-09-05 16:24:00+00','00000000-0000-0000-0000-000000000000','2024-09-05 16:24:00+00','00000000-0000-0000-0000-000000000000',TRUE,'2024-09-05 16:24:00+00','001',-2,1.1,FALSE),</v>
      </c>
    </row>
    <row r="59" spans="1:13" x14ac:dyDescent="0.25">
      <c r="A59" s="21" t="s">
        <v>422</v>
      </c>
      <c r="B59" s="39" t="s">
        <v>382</v>
      </c>
      <c r="C59" s="21" t="s">
        <v>227</v>
      </c>
      <c r="D59" s="39" t="s">
        <v>382</v>
      </c>
      <c r="E59" s="22" t="s">
        <v>227</v>
      </c>
      <c r="F59" s="23" t="b">
        <v>1</v>
      </c>
      <c r="G59" s="39" t="s">
        <v>382</v>
      </c>
      <c r="H59" s="30" t="s">
        <v>322</v>
      </c>
      <c r="I59" s="20">
        <v>-2</v>
      </c>
      <c r="J59">
        <v>1.1000000000000001</v>
      </c>
      <c r="L59" t="b">
        <v>0</v>
      </c>
      <c r="M59" t="str">
        <f t="shared" si="0"/>
        <v>('caeb08ff-f3da-4a07-b715-f396d3adcd2e','2024-09-07 16:24:00+00','00000000-0000-0000-0000-000000000000','2024-09-07 16:24:00+00','00000000-0000-0000-0000-000000000000',TRUE,'2024-09-07 16:24:00+00','001',-2,1.1,FALSE),</v>
      </c>
    </row>
    <row r="60" spans="1:13" x14ac:dyDescent="0.25">
      <c r="A60" s="21" t="s">
        <v>423</v>
      </c>
      <c r="B60" s="39" t="s">
        <v>378</v>
      </c>
      <c r="C60" s="21" t="s">
        <v>227</v>
      </c>
      <c r="D60" s="39" t="s">
        <v>378</v>
      </c>
      <c r="E60" s="22" t="s">
        <v>227</v>
      </c>
      <c r="F60" s="23" t="b">
        <v>1</v>
      </c>
      <c r="G60" s="39" t="s">
        <v>378</v>
      </c>
      <c r="H60" s="41" t="s">
        <v>322</v>
      </c>
      <c r="I60" s="20">
        <v>-2</v>
      </c>
      <c r="J60">
        <v>1.1000000000000001</v>
      </c>
      <c r="L60" t="b">
        <v>0</v>
      </c>
      <c r="M60" t="str">
        <f t="shared" si="0"/>
        <v>('da742a8a-6e6f-42ef-b33f-6b00e9b5b8d4','2024-09-10 16:24:00+01','00000000-0000-0000-0000-000000000000','2024-09-10 16:24:00+01','00000000-0000-0000-0000-000000000000',TRUE,'2024-09-10 16:24:00+01','001',-2,1.1,FALSE),</v>
      </c>
    </row>
    <row r="61" spans="1:13" x14ac:dyDescent="0.25">
      <c r="A61" s="21" t="s">
        <v>424</v>
      </c>
      <c r="B61" s="39" t="s">
        <v>383</v>
      </c>
      <c r="C61" s="21" t="s">
        <v>227</v>
      </c>
      <c r="D61" s="39" t="s">
        <v>383</v>
      </c>
      <c r="E61" s="22" t="s">
        <v>227</v>
      </c>
      <c r="F61" s="23" t="b">
        <v>1</v>
      </c>
      <c r="G61" s="39" t="s">
        <v>383</v>
      </c>
      <c r="H61" s="30" t="s">
        <v>322</v>
      </c>
      <c r="I61" s="20">
        <v>-2</v>
      </c>
      <c r="J61">
        <v>1.1000000000000001</v>
      </c>
      <c r="L61" t="b">
        <v>0</v>
      </c>
      <c r="M61" t="str">
        <f t="shared" si="0"/>
        <v>('43897624-d2d2-454d-b201-f2c1b9c4ead5','2024-09-12 16:24:00+01','00000000-0000-0000-0000-000000000000','2024-09-12 16:24:00+01','00000000-0000-0000-0000-000000000000',TRUE,'2024-09-12 16:24:00+01','001',-2,1.1,FALSE),</v>
      </c>
    </row>
    <row r="62" spans="1:13" x14ac:dyDescent="0.25">
      <c r="A62" s="21" t="s">
        <v>425</v>
      </c>
      <c r="B62" s="39" t="s">
        <v>384</v>
      </c>
      <c r="C62" s="21" t="s">
        <v>227</v>
      </c>
      <c r="D62" s="39" t="s">
        <v>384</v>
      </c>
      <c r="E62" s="22" t="s">
        <v>227</v>
      </c>
      <c r="F62" s="23" t="b">
        <v>1</v>
      </c>
      <c r="G62" s="39" t="s">
        <v>384</v>
      </c>
      <c r="H62" s="41" t="s">
        <v>322</v>
      </c>
      <c r="I62" s="20">
        <v>-2</v>
      </c>
      <c r="J62">
        <v>1.1000000000000001</v>
      </c>
      <c r="L62" t="b">
        <v>0</v>
      </c>
      <c r="M62" t="str">
        <f t="shared" si="0"/>
        <v>('fda14813-bb69-4de0-b6f2-15e4579e2a08','2024-09-14 16:24:00+01','00000000-0000-0000-0000-000000000000','2024-09-14 16:24:00+01','00000000-0000-0000-0000-000000000000',TRUE,'2024-09-14 16:24:00+01','001',-2,1.1,FALSE),</v>
      </c>
    </row>
    <row r="63" spans="1:13" x14ac:dyDescent="0.25">
      <c r="A63" s="21" t="s">
        <v>426</v>
      </c>
      <c r="B63" s="39" t="s">
        <v>379</v>
      </c>
      <c r="C63" s="21" t="s">
        <v>227</v>
      </c>
      <c r="D63" s="39" t="s">
        <v>379</v>
      </c>
      <c r="E63" s="22" t="s">
        <v>227</v>
      </c>
      <c r="F63" s="23" t="b">
        <v>1</v>
      </c>
      <c r="G63" s="39" t="s">
        <v>379</v>
      </c>
      <c r="H63" s="30" t="s">
        <v>322</v>
      </c>
      <c r="I63" s="20">
        <v>-2</v>
      </c>
      <c r="J63">
        <v>1.1000000000000001</v>
      </c>
      <c r="L63" t="b">
        <v>0</v>
      </c>
      <c r="M63" t="str">
        <f t="shared" si="0"/>
        <v>('1636e1d7-9a45-4f4d-801a-c3e99ba364d0','2024-09-17 16:24:00+02','00000000-0000-0000-0000-000000000000','2024-09-17 16:24:00+02','00000000-0000-0000-0000-000000000000',TRUE,'2024-09-17 16:24:00+02','001',-2,1.1,FALSE),</v>
      </c>
    </row>
    <row r="64" spans="1:13" x14ac:dyDescent="0.25">
      <c r="A64" s="21" t="s">
        <v>427</v>
      </c>
      <c r="B64" s="39" t="s">
        <v>385</v>
      </c>
      <c r="C64" s="21" t="s">
        <v>227</v>
      </c>
      <c r="D64" s="39" t="s">
        <v>385</v>
      </c>
      <c r="E64" s="22" t="s">
        <v>227</v>
      </c>
      <c r="F64" s="23" t="b">
        <v>1</v>
      </c>
      <c r="G64" s="39" t="s">
        <v>385</v>
      </c>
      <c r="H64" s="41" t="s">
        <v>322</v>
      </c>
      <c r="I64" s="20">
        <v>-2</v>
      </c>
      <c r="J64">
        <v>1.1000000000000001</v>
      </c>
      <c r="L64" t="b">
        <v>0</v>
      </c>
      <c r="M64" t="str">
        <f t="shared" si="0"/>
        <v>('4192b4d9-614d-406c-836e-46eab8019da8','2024-09-19 16:24:00+02','00000000-0000-0000-0000-000000000000','2024-09-19 16:24:00+02','00000000-0000-0000-0000-000000000000',TRUE,'2024-09-19 16:24:00+02','001',-2,1.1,FALSE),</v>
      </c>
    </row>
    <row r="65" spans="1:13" x14ac:dyDescent="0.25">
      <c r="A65" s="21" t="s">
        <v>428</v>
      </c>
      <c r="B65" s="39" t="s">
        <v>386</v>
      </c>
      <c r="C65" s="21" t="s">
        <v>227</v>
      </c>
      <c r="D65" s="39" t="s">
        <v>386</v>
      </c>
      <c r="E65" s="22" t="s">
        <v>227</v>
      </c>
      <c r="F65" s="23" t="b">
        <v>1</v>
      </c>
      <c r="G65" s="39" t="s">
        <v>386</v>
      </c>
      <c r="H65" s="30" t="s">
        <v>322</v>
      </c>
      <c r="I65" s="20">
        <v>-2</v>
      </c>
      <c r="J65">
        <v>1.1000000000000001</v>
      </c>
      <c r="L65" t="b">
        <v>0</v>
      </c>
      <c r="M65" t="str">
        <f t="shared" si="0"/>
        <v>('e3a175ad-9747-4065-8093-78c92c1b9afd','2024-09-21 16:24:00+02','00000000-0000-0000-0000-000000000000','2024-09-21 16:24:00+02','00000000-0000-0000-0000-000000000000',TRUE,'2024-09-21 16:24:00+02','001',-2,1.1,FALSE),</v>
      </c>
    </row>
    <row r="66" spans="1:13" x14ac:dyDescent="0.25">
      <c r="A66" s="21" t="s">
        <v>429</v>
      </c>
      <c r="B66" s="39" t="s">
        <v>380</v>
      </c>
      <c r="C66" s="21" t="s">
        <v>227</v>
      </c>
      <c r="D66" s="39" t="s">
        <v>380</v>
      </c>
      <c r="E66" s="22" t="s">
        <v>227</v>
      </c>
      <c r="F66" s="23" t="b">
        <v>1</v>
      </c>
      <c r="G66" s="39" t="s">
        <v>380</v>
      </c>
      <c r="H66" s="41" t="s">
        <v>322</v>
      </c>
      <c r="I66" s="20">
        <v>-2</v>
      </c>
      <c r="J66">
        <v>1.1000000000000001</v>
      </c>
      <c r="L66" t="b">
        <v>0</v>
      </c>
      <c r="M66" t="str">
        <f t="shared" si="0"/>
        <v>('d5181536-579d-451a-a390-9d4e9ea4fa42','2024-09-24 16:24:00+03','00000000-0000-0000-0000-000000000000','2024-09-24 16:24:00+03','00000000-0000-0000-0000-000000000000',TRUE,'2024-09-24 16:24:00+03','001',-2,1.1,FALSE),</v>
      </c>
    </row>
    <row r="67" spans="1:13" x14ac:dyDescent="0.25">
      <c r="A67" s="16" t="s">
        <v>430</v>
      </c>
      <c r="B67" s="39" t="s">
        <v>387</v>
      </c>
      <c r="C67" s="21" t="s">
        <v>227</v>
      </c>
      <c r="D67" s="39" t="s">
        <v>387</v>
      </c>
      <c r="E67" s="22" t="s">
        <v>227</v>
      </c>
      <c r="F67" s="23" t="b">
        <v>1</v>
      </c>
      <c r="G67" s="39" t="s">
        <v>387</v>
      </c>
      <c r="H67" s="30" t="s">
        <v>322</v>
      </c>
      <c r="I67" s="20">
        <v>-2</v>
      </c>
      <c r="J67">
        <v>1.1000000000000001</v>
      </c>
      <c r="L67" t="b">
        <v>0</v>
      </c>
      <c r="M67" t="str">
        <f t="shared" si="0"/>
        <v>('8fa69903-287f-4bfd-9597-c070c5645b5a','2024-09-26 16:24:00+03','00000000-0000-0000-0000-000000000000','2024-09-26 16:24:00+03','00000000-0000-0000-0000-000000000000',TRUE,'2024-09-26 16:24:00+03','001',-2,1.1,FALSE),</v>
      </c>
    </row>
    <row r="68" spans="1:13" x14ac:dyDescent="0.25">
      <c r="A68" s="16" t="s">
        <v>431</v>
      </c>
      <c r="B68" s="39" t="s">
        <v>388</v>
      </c>
      <c r="C68" s="21" t="s">
        <v>227</v>
      </c>
      <c r="D68" s="39" t="s">
        <v>388</v>
      </c>
      <c r="E68" s="22" t="s">
        <v>227</v>
      </c>
      <c r="F68" s="23" t="b">
        <v>1</v>
      </c>
      <c r="G68" s="39" t="s">
        <v>388</v>
      </c>
      <c r="H68" s="41" t="s">
        <v>322</v>
      </c>
      <c r="I68" s="20">
        <v>-2</v>
      </c>
      <c r="J68">
        <v>1.1000000000000001</v>
      </c>
      <c r="L68" t="b">
        <v>0</v>
      </c>
      <c r="M68" t="str">
        <f t="shared" si="0"/>
        <v>('f11a6764-732e-4d88-9428-f48303aa8009','2024-09-28 16:24:00+03','00000000-0000-0000-0000-000000000000','2024-09-28 16:24:00+03','00000000-0000-0000-0000-000000000000',TRUE,'2024-09-28 16:24:00+03','001',-2,1.1,FALSE),</v>
      </c>
    </row>
    <row r="69" spans="1:13" x14ac:dyDescent="0.25">
      <c r="A69" s="16" t="s">
        <v>432</v>
      </c>
      <c r="B69" s="39" t="s">
        <v>389</v>
      </c>
      <c r="C69" s="21" t="s">
        <v>227</v>
      </c>
      <c r="D69" s="39" t="s">
        <v>389</v>
      </c>
      <c r="E69" s="22" t="s">
        <v>227</v>
      </c>
      <c r="F69" s="23" t="b">
        <v>1</v>
      </c>
      <c r="G69" s="39" t="s">
        <v>389</v>
      </c>
      <c r="H69" s="30" t="s">
        <v>322</v>
      </c>
      <c r="I69" s="20">
        <v>-2</v>
      </c>
      <c r="J69">
        <v>1.1000000000000001</v>
      </c>
      <c r="L69" t="b">
        <v>0</v>
      </c>
      <c r="M69" t="str">
        <f t="shared" ref="M69:M71" si="2">_xlfn.CONCAT("('",A69,"','",B69,"','",C69,"','",D69,"','",E69,"',",F69,",'",G69,"','",H69,"',",I69,",",J69,",",L69,"),")</f>
        <v>('f709eb01-c3a7-4140-a965-ebe1e140d055','2024-10-01 16:24:00+04','00000000-0000-0000-0000-000000000000','2024-10-01 16:24:00+04','00000000-0000-0000-0000-000000000000',TRUE,'2024-10-01 16:24:00+04','001',-2,1.1,FALSE),</v>
      </c>
    </row>
    <row r="70" spans="1:13" x14ac:dyDescent="0.25">
      <c r="A70" s="16" t="s">
        <v>433</v>
      </c>
      <c r="B70" s="39" t="s">
        <v>390</v>
      </c>
      <c r="C70" s="21" t="s">
        <v>227</v>
      </c>
      <c r="D70" s="39" t="s">
        <v>390</v>
      </c>
      <c r="E70" s="22" t="s">
        <v>227</v>
      </c>
      <c r="F70" s="23" t="b">
        <v>1</v>
      </c>
      <c r="G70" s="39" t="s">
        <v>390</v>
      </c>
      <c r="H70" s="41" t="s">
        <v>322</v>
      </c>
      <c r="I70" s="20">
        <v>-2</v>
      </c>
      <c r="J70">
        <v>1.1000000000000001</v>
      </c>
      <c r="L70" t="b">
        <v>0</v>
      </c>
      <c r="M70" t="str">
        <f t="shared" si="2"/>
        <v>('f633623c-66d6-4d97-994f-b7674535cd2a','2024-10-03 16:24:00+04','00000000-0000-0000-0000-000000000000','2024-10-03 16:24:00+04','00000000-0000-0000-0000-000000000000',TRUE,'2024-10-03 16:24:00+04','001',-2,1.1,FALSE),</v>
      </c>
    </row>
    <row r="71" spans="1:13" x14ac:dyDescent="0.25">
      <c r="A71" s="16" t="s">
        <v>434</v>
      </c>
      <c r="B71" s="39" t="s">
        <v>391</v>
      </c>
      <c r="C71" s="21" t="s">
        <v>227</v>
      </c>
      <c r="D71" s="39" t="s">
        <v>391</v>
      </c>
      <c r="E71" s="22" t="s">
        <v>227</v>
      </c>
      <c r="F71" s="23" t="b">
        <v>1</v>
      </c>
      <c r="G71" s="39" t="s">
        <v>391</v>
      </c>
      <c r="H71" s="30" t="s">
        <v>322</v>
      </c>
      <c r="I71" s="20">
        <v>-2</v>
      </c>
      <c r="J71">
        <v>1.1000000000000001</v>
      </c>
      <c r="L71" t="b">
        <v>0</v>
      </c>
      <c r="M71" t="str">
        <f t="shared" si="2"/>
        <v>('561b3574-8922-41ce-b7f1-eb2791e94dcd','2024-10-05 16:24:00+04','00000000-0000-0000-0000-000000000000','2024-10-05 16:24:00+04','00000000-0000-0000-0000-000000000000',TRUE,'2024-10-05 16:24:00+04','001',-2,1.1,FALSE),</v>
      </c>
    </row>
    <row r="78" spans="1:13" x14ac:dyDescent="0.25">
      <c r="M78" t="s">
        <v>488</v>
      </c>
    </row>
    <row r="79" spans="1:13" x14ac:dyDescent="0.25">
      <c r="M79" t="s">
        <v>489</v>
      </c>
    </row>
    <row r="80" spans="1:13" x14ac:dyDescent="0.25">
      <c r="M80" t="s">
        <v>490</v>
      </c>
    </row>
    <row r="81" spans="13:13" x14ac:dyDescent="0.25">
      <c r="M81" t="s">
        <v>491</v>
      </c>
    </row>
    <row r="82" spans="13:13" x14ac:dyDescent="0.25">
      <c r="M82" t="s">
        <v>492</v>
      </c>
    </row>
    <row r="83" spans="13:13" x14ac:dyDescent="0.25">
      <c r="M83" t="s">
        <v>493</v>
      </c>
    </row>
    <row r="84" spans="13:13" x14ac:dyDescent="0.25">
      <c r="M84" t="s">
        <v>494</v>
      </c>
    </row>
    <row r="85" spans="13:13" x14ac:dyDescent="0.25">
      <c r="M85" t="s">
        <v>495</v>
      </c>
    </row>
    <row r="86" spans="13:13" x14ac:dyDescent="0.25">
      <c r="M86" t="s">
        <v>496</v>
      </c>
    </row>
    <row r="87" spans="13:13" x14ac:dyDescent="0.25">
      <c r="M87" t="s">
        <v>497</v>
      </c>
    </row>
    <row r="88" spans="13:13" x14ac:dyDescent="0.25">
      <c r="M88" t="s">
        <v>498</v>
      </c>
    </row>
    <row r="89" spans="13:13" x14ac:dyDescent="0.25">
      <c r="M89" t="s">
        <v>499</v>
      </c>
    </row>
    <row r="90" spans="13:13" x14ac:dyDescent="0.25">
      <c r="M90" t="s">
        <v>500</v>
      </c>
    </row>
    <row r="91" spans="13:13" x14ac:dyDescent="0.25">
      <c r="M91" t="s">
        <v>501</v>
      </c>
    </row>
    <row r="92" spans="13:13" x14ac:dyDescent="0.25">
      <c r="M92" t="s">
        <v>502</v>
      </c>
    </row>
    <row r="93" spans="13:13" x14ac:dyDescent="0.25">
      <c r="M93" t="s">
        <v>503</v>
      </c>
    </row>
    <row r="94" spans="13:13" x14ac:dyDescent="0.25">
      <c r="M94" t="s">
        <v>504</v>
      </c>
    </row>
    <row r="95" spans="13:13" x14ac:dyDescent="0.25">
      <c r="M95" t="s">
        <v>505</v>
      </c>
    </row>
    <row r="96" spans="13:13" x14ac:dyDescent="0.25">
      <c r="M96" t="s">
        <v>506</v>
      </c>
    </row>
    <row r="97" spans="13:13" x14ac:dyDescent="0.25">
      <c r="M97" t="s">
        <v>507</v>
      </c>
    </row>
    <row r="98" spans="13:13" x14ac:dyDescent="0.25">
      <c r="M98" t="s">
        <v>508</v>
      </c>
    </row>
    <row r="99" spans="13:13" x14ac:dyDescent="0.25">
      <c r="M99" t="s">
        <v>509</v>
      </c>
    </row>
    <row r="100" spans="13:13" x14ac:dyDescent="0.25">
      <c r="M100" t="s">
        <v>510</v>
      </c>
    </row>
    <row r="101" spans="13:13" x14ac:dyDescent="0.25">
      <c r="M101" t="s">
        <v>511</v>
      </c>
    </row>
    <row r="102" spans="13:13" x14ac:dyDescent="0.25">
      <c r="M102" t="s">
        <v>512</v>
      </c>
    </row>
    <row r="103" spans="13:13" x14ac:dyDescent="0.25">
      <c r="M103" t="s">
        <v>513</v>
      </c>
    </row>
    <row r="104" spans="13:13" x14ac:dyDescent="0.25">
      <c r="M104" t="s">
        <v>514</v>
      </c>
    </row>
    <row r="105" spans="13:13" x14ac:dyDescent="0.25">
      <c r="M105" t="s">
        <v>515</v>
      </c>
    </row>
    <row r="106" spans="13:13" x14ac:dyDescent="0.25">
      <c r="M106" t="s">
        <v>516</v>
      </c>
    </row>
    <row r="107" spans="13:13" x14ac:dyDescent="0.25">
      <c r="M107" t="s">
        <v>517</v>
      </c>
    </row>
    <row r="108" spans="13:13" x14ac:dyDescent="0.25">
      <c r="M108" t="s">
        <v>518</v>
      </c>
    </row>
    <row r="109" spans="13:13" x14ac:dyDescent="0.25">
      <c r="M109" t="s">
        <v>519</v>
      </c>
    </row>
    <row r="110" spans="13:13" x14ac:dyDescent="0.25">
      <c r="M110" t="s">
        <v>520</v>
      </c>
    </row>
    <row r="111" spans="13:13" x14ac:dyDescent="0.25">
      <c r="M111" t="s">
        <v>521</v>
      </c>
    </row>
    <row r="112" spans="13:13" x14ac:dyDescent="0.25">
      <c r="M112" t="s">
        <v>522</v>
      </c>
    </row>
    <row r="113" spans="13:13" x14ac:dyDescent="0.25">
      <c r="M113" t="s">
        <v>523</v>
      </c>
    </row>
    <row r="114" spans="13:13" x14ac:dyDescent="0.25">
      <c r="M114" t="s">
        <v>524</v>
      </c>
    </row>
    <row r="115" spans="13:13" x14ac:dyDescent="0.25">
      <c r="M115" t="s">
        <v>525</v>
      </c>
    </row>
    <row r="116" spans="13:13" x14ac:dyDescent="0.25">
      <c r="M116" t="s">
        <v>526</v>
      </c>
    </row>
    <row r="117" spans="13:13" x14ac:dyDescent="0.25">
      <c r="M117" t="s">
        <v>527</v>
      </c>
    </row>
    <row r="118" spans="13:13" x14ac:dyDescent="0.25">
      <c r="M118" t="s">
        <v>528</v>
      </c>
    </row>
    <row r="119" spans="13:13" x14ac:dyDescent="0.25">
      <c r="M119" t="s">
        <v>529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56AE-41CD-4C61-BC7B-F03160CE2C81}">
  <sheetPr>
    <tabColor theme="7" tint="0.39997558519241921"/>
  </sheetPr>
  <dimension ref="A1:AM141"/>
  <sheetViews>
    <sheetView workbookViewId="0">
      <selection activeCell="AL74" sqref="AL74:AL141"/>
    </sheetView>
  </sheetViews>
  <sheetFormatPr defaultRowHeight="15" x14ac:dyDescent="0.25"/>
  <cols>
    <col min="1" max="1" width="38" customWidth="1"/>
    <col min="2" max="2" width="2.5703125" customWidth="1"/>
    <col min="3" max="3" width="2.42578125" customWidth="1"/>
    <col min="4" max="4" width="3.42578125" customWidth="1"/>
    <col min="5" max="5" width="3.140625" customWidth="1"/>
    <col min="6" max="6" width="2.5703125" customWidth="1"/>
    <col min="7" max="7" width="10" style="34" customWidth="1"/>
    <col min="8" max="8" width="21.5703125" style="12" customWidth="1"/>
    <col min="9" max="10" width="2.42578125" customWidth="1"/>
    <col min="11" max="11" width="7.85546875" style="13" bestFit="1" customWidth="1"/>
    <col min="12" max="17" width="2.140625" customWidth="1"/>
    <col min="18" max="19" width="8.5703125" style="12" customWidth="1"/>
    <col min="20" max="23" width="2.42578125" customWidth="1"/>
    <col min="24" max="24" width="9" style="12" customWidth="1"/>
    <col min="25" max="27" width="2.140625" customWidth="1"/>
    <col min="28" max="28" width="36.5703125" style="14" bestFit="1" customWidth="1"/>
    <col min="29" max="33" width="2.7109375" customWidth="1"/>
    <col min="34" max="34" width="37.5703125" style="15" bestFit="1" customWidth="1"/>
    <col min="35" max="37" width="2.5703125" customWidth="1"/>
    <col min="38" max="38" width="114" customWidth="1"/>
  </cols>
  <sheetData>
    <row r="1" spans="1:39" ht="63.75" customHeight="1" x14ac:dyDescent="0.25">
      <c r="I1" t="s">
        <v>214</v>
      </c>
      <c r="L1" t="s">
        <v>216</v>
      </c>
      <c r="P1" t="s">
        <v>214</v>
      </c>
      <c r="R1" s="12" t="s">
        <v>219</v>
      </c>
      <c r="S1" s="12" t="s">
        <v>219</v>
      </c>
      <c r="T1" t="s">
        <v>219</v>
      </c>
      <c r="U1" t="s">
        <v>219</v>
      </c>
      <c r="V1" t="s">
        <v>219</v>
      </c>
      <c r="W1" t="s">
        <v>219</v>
      </c>
      <c r="X1" s="12" t="s">
        <v>219</v>
      </c>
      <c r="Y1" t="s">
        <v>219</v>
      </c>
      <c r="AA1" t="s">
        <v>216</v>
      </c>
      <c r="AC1" t="s">
        <v>214</v>
      </c>
      <c r="AD1" t="s">
        <v>219</v>
      </c>
      <c r="AG1" t="s">
        <v>214</v>
      </c>
      <c r="AM1" t="s">
        <v>220</v>
      </c>
    </row>
    <row r="2" spans="1:39" x14ac:dyDescent="0.25">
      <c r="A2" s="35" t="s">
        <v>16</v>
      </c>
      <c r="B2" s="35" t="s">
        <v>178</v>
      </c>
      <c r="C2" s="35" t="s">
        <v>179</v>
      </c>
      <c r="D2" s="35" t="s">
        <v>180</v>
      </c>
      <c r="E2" s="35" t="s">
        <v>181</v>
      </c>
      <c r="F2" s="35" t="s">
        <v>182</v>
      </c>
      <c r="G2" s="36" t="s">
        <v>183</v>
      </c>
      <c r="H2" s="35" t="s">
        <v>184</v>
      </c>
      <c r="I2" s="35" t="s">
        <v>185</v>
      </c>
      <c r="J2" s="35" t="s">
        <v>186</v>
      </c>
      <c r="K2" s="35" t="s">
        <v>187</v>
      </c>
      <c r="L2" s="35" t="s">
        <v>188</v>
      </c>
      <c r="M2" s="35" t="s">
        <v>189</v>
      </c>
      <c r="N2" s="35" t="s">
        <v>190</v>
      </c>
      <c r="O2" s="35" t="s">
        <v>191</v>
      </c>
      <c r="P2" s="35" t="s">
        <v>192</v>
      </c>
      <c r="Q2" s="35" t="s">
        <v>193</v>
      </c>
      <c r="R2" s="35" t="s">
        <v>194</v>
      </c>
      <c r="S2" s="35" t="s">
        <v>195</v>
      </c>
      <c r="T2" s="35" t="s">
        <v>196</v>
      </c>
      <c r="U2" s="35" t="s">
        <v>197</v>
      </c>
      <c r="V2" s="35" t="s">
        <v>198</v>
      </c>
      <c r="W2" s="35" t="s">
        <v>199</v>
      </c>
      <c r="X2" s="35" t="s">
        <v>200</v>
      </c>
      <c r="Y2" s="35" t="s">
        <v>201</v>
      </c>
      <c r="Z2" s="35" t="s">
        <v>202</v>
      </c>
      <c r="AA2" s="35" t="s">
        <v>203</v>
      </c>
      <c r="AB2" s="35" t="s">
        <v>204</v>
      </c>
      <c r="AC2" s="35" t="s">
        <v>205</v>
      </c>
      <c r="AD2" s="35" t="s">
        <v>206</v>
      </c>
      <c r="AE2" s="35" t="s">
        <v>207</v>
      </c>
      <c r="AF2" s="35" t="s">
        <v>208</v>
      </c>
      <c r="AG2" s="35" t="s">
        <v>209</v>
      </c>
      <c r="AH2" s="35" t="s">
        <v>210</v>
      </c>
      <c r="AI2" s="35" t="s">
        <v>211</v>
      </c>
      <c r="AJ2" s="35" t="s">
        <v>212</v>
      </c>
      <c r="AK2" s="35"/>
      <c r="AL2" t="str">
        <f>_xlfn.CONCAT("('",A3,"','",B3,"','",C3,"','",D3,"','",E3,"',",F3,",'",G3,"','",H3,"',",I3,",",J3,",'",K3,"','",L3,"','",M3,"','",N3,"',",O3,",",P3,",",Q3,",",R3,",",S3,",",T3,",",U3,",",V3,",",W3,",",X3,",",Y3,",",Z3,",'",AA3,"','",AB3,"',",AC3,",",AD3,",",AE3,",",AF3,",",AG3,",'",AH3,"',",AI3,",",AJ3,"),")</f>
        <v>('aec14bb9-ee40-49f6-9f85-e0f707dd3945','2025-05-31 08:27:43.267332+00','866dabc4-6501-44d2-a0e5-65da9c45a46e','2025-05-31 08:27:43.267332+00','866dabc4-6501-44d2-a0e5-65da9c45a46e',TRUE,'003','2024-01-01',0,FALSE,'Unit1','','2022-04-01 08:27:00+00','2022-04-02 08:27:00+00',FALSE,0,FALSE,65,64,0,0,0,0,65,0,FALSE,'','03625504-b150-46f3-b9e6-d572f5b8b776',1,0,FALSE,0,1,'4dbc7800-d343-4d6e-ab27-a7706b0cd126',FALSE,0),</v>
      </c>
      <c r="AM2" t="s">
        <v>220</v>
      </c>
    </row>
    <row r="3" spans="1:39" x14ac:dyDescent="0.25">
      <c r="A3" t="s">
        <v>530</v>
      </c>
      <c r="B3" t="s">
        <v>213</v>
      </c>
      <c r="C3" t="s">
        <v>0</v>
      </c>
      <c r="D3" t="s">
        <v>213</v>
      </c>
      <c r="E3" t="s">
        <v>0</v>
      </c>
      <c r="F3" t="b">
        <v>1</v>
      </c>
      <c r="G3" s="34" t="s">
        <v>599</v>
      </c>
      <c r="H3" s="33" t="s">
        <v>323</v>
      </c>
      <c r="I3">
        <v>0</v>
      </c>
      <c r="J3" t="b">
        <v>0</v>
      </c>
      <c r="K3" s="13" t="s">
        <v>215</v>
      </c>
      <c r="M3" t="s">
        <v>217</v>
      </c>
      <c r="N3" t="s">
        <v>218</v>
      </c>
      <c r="O3" t="b">
        <v>0</v>
      </c>
      <c r="P3">
        <v>0</v>
      </c>
      <c r="Q3" t="b">
        <v>0</v>
      </c>
      <c r="R3" s="12">
        <v>65</v>
      </c>
      <c r="S3" s="12">
        <v>64</v>
      </c>
      <c r="T3">
        <v>0</v>
      </c>
      <c r="U3">
        <v>0</v>
      </c>
      <c r="V3">
        <v>0</v>
      </c>
      <c r="W3">
        <v>0</v>
      </c>
      <c r="X3" s="12">
        <v>65</v>
      </c>
      <c r="Y3">
        <v>0</v>
      </c>
      <c r="Z3" t="b">
        <v>0</v>
      </c>
      <c r="AB3" s="14" t="s">
        <v>598</v>
      </c>
      <c r="AC3">
        <v>1</v>
      </c>
      <c r="AD3">
        <v>0</v>
      </c>
      <c r="AE3" t="b">
        <v>0</v>
      </c>
      <c r="AF3">
        <v>0</v>
      </c>
      <c r="AG3">
        <v>1</v>
      </c>
      <c r="AH3" s="15" t="s">
        <v>38</v>
      </c>
      <c r="AI3" t="b">
        <v>0</v>
      </c>
      <c r="AJ3">
        <v>0</v>
      </c>
      <c r="AL3" t="str">
        <f t="shared" ref="AL3:AL66" si="0">_xlfn.CONCAT("('",A4,"','",B4,"','",C4,"','",D4,"','",E4,"',",F4,",'",G4,"','",H4,"',",I4,",",J4,",'",K4,"','",L4,"','",M4,"','",N4,"',",O4,",",P4,",",Q4,",",R4,",",S4,",",T4,",",U4,",",V4,",",W4,",",X4,",",Y4,",",Z4,",'",AA4,"','",AB4,"',",AC4,",",AD4,",",AE4,",",AF4,",",AG4,",'",AH4,"',",AI4,",",AJ4,"),")</f>
        <v>('b980eba0-e062-4b23-859d-4f0df86b94ac','2025-05-31 08:27:43.267332+00','866dabc4-6501-44d2-a0e5-65da9c45a46e','2025-05-31 08:27:43.267332+00','866dabc4-6501-44d2-a0e5-65da9c45a46e',TRUE,'003','2024-01-04',0,FALSE,'Unit1','','2022-04-01 08:27:00+00','2022-04-02 08:27:00+00',FALSE,0,FALSE,65,64,0,0,0,0,65,0,FALSE,'','03625504-b150-46f3-b9e6-d572f5b8b776',1,0,FALSE,0,1,'4dbc7800-d343-4d6e-ab27-a7706b0cd126',FALSE,0),</v>
      </c>
      <c r="AM3" t="s">
        <v>220</v>
      </c>
    </row>
    <row r="4" spans="1:39" x14ac:dyDescent="0.25">
      <c r="A4" t="s">
        <v>531</v>
      </c>
      <c r="B4" t="s">
        <v>213</v>
      </c>
      <c r="C4" t="s">
        <v>0</v>
      </c>
      <c r="D4" t="s">
        <v>213</v>
      </c>
      <c r="E4" t="s">
        <v>0</v>
      </c>
      <c r="F4" t="b">
        <v>1</v>
      </c>
      <c r="G4" s="34" t="s">
        <v>599</v>
      </c>
      <c r="H4" s="33" t="s">
        <v>324</v>
      </c>
      <c r="I4">
        <v>0</v>
      </c>
      <c r="J4" t="b">
        <v>0</v>
      </c>
      <c r="K4" s="13" t="s">
        <v>215</v>
      </c>
      <c r="M4" t="s">
        <v>217</v>
      </c>
      <c r="N4" t="s">
        <v>218</v>
      </c>
      <c r="O4" t="b">
        <v>0</v>
      </c>
      <c r="P4">
        <v>0</v>
      </c>
      <c r="Q4" t="b">
        <v>0</v>
      </c>
      <c r="R4" s="12">
        <v>65</v>
      </c>
      <c r="S4" s="12">
        <v>64</v>
      </c>
      <c r="T4">
        <v>0</v>
      </c>
      <c r="U4">
        <v>0</v>
      </c>
      <c r="V4">
        <v>0</v>
      </c>
      <c r="W4">
        <v>0</v>
      </c>
      <c r="X4" s="12">
        <v>65</v>
      </c>
      <c r="Y4">
        <v>0</v>
      </c>
      <c r="Z4" t="b">
        <v>0</v>
      </c>
      <c r="AB4" s="14" t="s">
        <v>598</v>
      </c>
      <c r="AC4">
        <v>1</v>
      </c>
      <c r="AD4">
        <v>0</v>
      </c>
      <c r="AE4" t="b">
        <v>0</v>
      </c>
      <c r="AF4">
        <v>0</v>
      </c>
      <c r="AG4">
        <v>1</v>
      </c>
      <c r="AH4" s="15" t="s">
        <v>38</v>
      </c>
      <c r="AI4" t="b">
        <v>0</v>
      </c>
      <c r="AJ4">
        <v>0</v>
      </c>
      <c r="AL4" t="str">
        <f t="shared" si="0"/>
        <v>('861cc56c-9aad-4fcb-9a3e-166c1af4d67b','2025-05-31 08:27:43.267332+00','866dabc4-6501-44d2-a0e5-65da9c45a46e','2025-05-31 08:27:43.267332+00','866dabc4-6501-44d2-a0e5-65da9c45a46e',TRUE,'003','2024-01-08',0,FALSE,'Unit1','','2022-04-01 08:27:00+00','2022-04-02 08:27:00+00',FALSE,0,FALSE,65,64,0,0,0,0,65,0,FALSE,'','03625504-b150-46f3-b9e6-d572f5b8b776',1,0,FALSE,0,1,'4dbc7800-d343-4d6e-ab27-a7706b0cd126',FALSE,0),</v>
      </c>
    </row>
    <row r="5" spans="1:39" x14ac:dyDescent="0.25">
      <c r="A5" t="s">
        <v>532</v>
      </c>
      <c r="B5" t="s">
        <v>213</v>
      </c>
      <c r="C5" t="s">
        <v>0</v>
      </c>
      <c r="D5" t="s">
        <v>213</v>
      </c>
      <c r="E5" t="s">
        <v>0</v>
      </c>
      <c r="F5" t="b">
        <v>1</v>
      </c>
      <c r="G5" s="34" t="s">
        <v>599</v>
      </c>
      <c r="H5" s="33" t="s">
        <v>325</v>
      </c>
      <c r="I5">
        <v>0</v>
      </c>
      <c r="J5" t="b">
        <v>0</v>
      </c>
      <c r="K5" s="13" t="s">
        <v>215</v>
      </c>
      <c r="M5" t="s">
        <v>217</v>
      </c>
      <c r="N5" t="s">
        <v>218</v>
      </c>
      <c r="O5" t="b">
        <v>0</v>
      </c>
      <c r="P5">
        <v>0</v>
      </c>
      <c r="Q5" t="b">
        <v>0</v>
      </c>
      <c r="R5" s="12">
        <v>65</v>
      </c>
      <c r="S5" s="12">
        <v>64</v>
      </c>
      <c r="T5">
        <v>0</v>
      </c>
      <c r="U5">
        <v>0</v>
      </c>
      <c r="V5">
        <v>0</v>
      </c>
      <c r="W5">
        <v>0</v>
      </c>
      <c r="X5" s="12">
        <v>65</v>
      </c>
      <c r="Y5">
        <v>0</v>
      </c>
      <c r="Z5" t="b">
        <v>0</v>
      </c>
      <c r="AB5" s="14" t="s">
        <v>598</v>
      </c>
      <c r="AC5">
        <v>1</v>
      </c>
      <c r="AD5">
        <v>0</v>
      </c>
      <c r="AE5" t="b">
        <v>0</v>
      </c>
      <c r="AF5">
        <v>0</v>
      </c>
      <c r="AG5">
        <v>1</v>
      </c>
      <c r="AH5" s="15" t="s">
        <v>38</v>
      </c>
      <c r="AI5" t="b">
        <v>0</v>
      </c>
      <c r="AJ5">
        <v>0</v>
      </c>
      <c r="AL5" t="str">
        <f t="shared" si="0"/>
        <v>('ef00f619-296d-4e5f-9e85-237554af9771','2025-05-31 08:27:43.267332+00','866dabc4-6501-44d2-a0e5-65da9c45a46e','2025-05-31 08:27:43.267332+00','866dabc4-6501-44d2-a0e5-65da9c45a46e',TRUE,'003','2024-01-11',0,FALSE,'Unit1','','2022-04-01 08:27:00+00','2022-04-02 08:27:00+00',FALSE,0,FALSE,65,64,0,0,0,0,65,0,FALSE,'','03625504-b150-46f3-b9e6-d572f5b8b776',1,0,FALSE,0,1,'4dbc7800-d343-4d6e-ab27-a7706b0cd126',FALSE,0),</v>
      </c>
    </row>
    <row r="6" spans="1:39" x14ac:dyDescent="0.25">
      <c r="A6" t="s">
        <v>533</v>
      </c>
      <c r="B6" t="s">
        <v>213</v>
      </c>
      <c r="C6" t="s">
        <v>0</v>
      </c>
      <c r="D6" t="s">
        <v>213</v>
      </c>
      <c r="E6" t="s">
        <v>0</v>
      </c>
      <c r="F6" t="b">
        <v>1</v>
      </c>
      <c r="G6" s="34" t="s">
        <v>599</v>
      </c>
      <c r="H6" s="33" t="s">
        <v>326</v>
      </c>
      <c r="I6">
        <v>0</v>
      </c>
      <c r="J6" t="b">
        <v>0</v>
      </c>
      <c r="K6" s="13" t="s">
        <v>215</v>
      </c>
      <c r="M6" t="s">
        <v>217</v>
      </c>
      <c r="N6" t="s">
        <v>218</v>
      </c>
      <c r="O6" t="b">
        <v>0</v>
      </c>
      <c r="P6">
        <v>0</v>
      </c>
      <c r="Q6" t="b">
        <v>0</v>
      </c>
      <c r="R6" s="12">
        <v>65</v>
      </c>
      <c r="S6" s="12">
        <v>64</v>
      </c>
      <c r="T6">
        <v>0</v>
      </c>
      <c r="U6">
        <v>0</v>
      </c>
      <c r="V6">
        <v>0</v>
      </c>
      <c r="W6">
        <v>0</v>
      </c>
      <c r="X6" s="12">
        <v>65</v>
      </c>
      <c r="Y6">
        <v>0</v>
      </c>
      <c r="Z6" t="b">
        <v>0</v>
      </c>
      <c r="AB6" s="14" t="s">
        <v>598</v>
      </c>
      <c r="AC6">
        <v>1</v>
      </c>
      <c r="AD6">
        <v>0</v>
      </c>
      <c r="AE6" t="b">
        <v>0</v>
      </c>
      <c r="AF6">
        <v>0</v>
      </c>
      <c r="AG6">
        <v>1</v>
      </c>
      <c r="AH6" s="15" t="s">
        <v>38</v>
      </c>
      <c r="AI6" t="b">
        <v>0</v>
      </c>
      <c r="AJ6">
        <v>0</v>
      </c>
      <c r="AL6" t="str">
        <f t="shared" si="0"/>
        <v>('e5e717a9-83e4-4d52-a171-a3289f70c737','2025-05-31 08:27:43.267332+00','866dabc4-6501-44d2-a0e5-65da9c45a46e','2025-05-31 08:27:43.267332+00','866dabc4-6501-44d2-a0e5-65da9c45a46e',TRUE,'003','2024-01-15',0,FALSE,'Unit1','','2022-04-01 08:27:00+00','2022-04-02 08:27:00+00',FALSE,0,FALSE,65,64,0,0,0,0,65,0,FALSE,'','03625504-b150-46f3-b9e6-d572f5b8b776',1,0,FALSE,0,1,'4dbc7800-d343-4d6e-ab27-a7706b0cd126',FALSE,0),</v>
      </c>
    </row>
    <row r="7" spans="1:39" x14ac:dyDescent="0.25">
      <c r="A7" t="s">
        <v>534</v>
      </c>
      <c r="B7" t="s">
        <v>213</v>
      </c>
      <c r="C7" t="s">
        <v>0</v>
      </c>
      <c r="D7" t="s">
        <v>213</v>
      </c>
      <c r="E7" t="s">
        <v>0</v>
      </c>
      <c r="F7" t="b">
        <v>1</v>
      </c>
      <c r="G7" s="34" t="s">
        <v>599</v>
      </c>
      <c r="H7" s="33" t="s">
        <v>327</v>
      </c>
      <c r="I7">
        <v>0</v>
      </c>
      <c r="J7" t="b">
        <v>0</v>
      </c>
      <c r="K7" s="13" t="s">
        <v>215</v>
      </c>
      <c r="M7" t="s">
        <v>217</v>
      </c>
      <c r="N7" t="s">
        <v>218</v>
      </c>
      <c r="O7" t="b">
        <v>0</v>
      </c>
      <c r="P7">
        <v>0</v>
      </c>
      <c r="Q7" t="b">
        <v>0</v>
      </c>
      <c r="R7" s="12">
        <v>65</v>
      </c>
      <c r="S7" s="12">
        <v>64</v>
      </c>
      <c r="T7">
        <v>0</v>
      </c>
      <c r="U7">
        <v>0</v>
      </c>
      <c r="V7">
        <v>0</v>
      </c>
      <c r="W7">
        <v>0</v>
      </c>
      <c r="X7" s="12">
        <v>65</v>
      </c>
      <c r="Y7">
        <v>0</v>
      </c>
      <c r="Z7" t="b">
        <v>0</v>
      </c>
      <c r="AB7" s="14" t="s">
        <v>598</v>
      </c>
      <c r="AC7">
        <v>1</v>
      </c>
      <c r="AD7">
        <v>0</v>
      </c>
      <c r="AE7" t="b">
        <v>0</v>
      </c>
      <c r="AF7">
        <v>0</v>
      </c>
      <c r="AG7">
        <v>1</v>
      </c>
      <c r="AH7" s="15" t="s">
        <v>38</v>
      </c>
      <c r="AI7" t="b">
        <v>0</v>
      </c>
      <c r="AJ7">
        <v>0</v>
      </c>
      <c r="AL7" t="str">
        <f t="shared" si="0"/>
        <v>('3c36fe72-0a4b-41c2-9366-2dcd8c4801a7','2025-05-31 08:27:43.267332+00','866dabc4-6501-44d2-a0e5-65da9c45a46e','2025-05-31 08:27:43.267332+00','866dabc4-6501-44d2-a0e5-65da9c45a46e',TRUE,'003','2024-01-18',0,FALSE,'Unit1','','2022-04-01 08:27:00+00','2022-04-02 08:27:00+00',FALSE,0,FALSE,65,64,0,0,0,0,65,0,FALSE,'','03625504-b150-46f3-b9e6-d572f5b8b776',1,0,FALSE,0,1,'4dbc7800-d343-4d6e-ab27-a7706b0cd126',FALSE,0),</v>
      </c>
    </row>
    <row r="8" spans="1:39" x14ac:dyDescent="0.25">
      <c r="A8" t="s">
        <v>535</v>
      </c>
      <c r="B8" t="s">
        <v>213</v>
      </c>
      <c r="C8" t="s">
        <v>0</v>
      </c>
      <c r="D8" t="s">
        <v>213</v>
      </c>
      <c r="E8" t="s">
        <v>0</v>
      </c>
      <c r="F8" t="b">
        <v>1</v>
      </c>
      <c r="G8" s="34" t="s">
        <v>599</v>
      </c>
      <c r="H8" s="33" t="s">
        <v>328</v>
      </c>
      <c r="I8">
        <v>0</v>
      </c>
      <c r="J8" t="b">
        <v>0</v>
      </c>
      <c r="K8" s="13" t="s">
        <v>215</v>
      </c>
      <c r="M8" t="s">
        <v>217</v>
      </c>
      <c r="N8" t="s">
        <v>218</v>
      </c>
      <c r="O8" t="b">
        <v>0</v>
      </c>
      <c r="P8">
        <v>0</v>
      </c>
      <c r="Q8" t="b">
        <v>0</v>
      </c>
      <c r="R8" s="12">
        <v>65</v>
      </c>
      <c r="S8" s="12">
        <v>64</v>
      </c>
      <c r="T8">
        <v>0</v>
      </c>
      <c r="U8">
        <v>0</v>
      </c>
      <c r="V8">
        <v>0</v>
      </c>
      <c r="W8">
        <v>0</v>
      </c>
      <c r="X8" s="12">
        <v>65</v>
      </c>
      <c r="Y8">
        <v>0</v>
      </c>
      <c r="Z8" t="b">
        <v>0</v>
      </c>
      <c r="AB8" s="14" t="s">
        <v>598</v>
      </c>
      <c r="AC8">
        <v>1</v>
      </c>
      <c r="AD8">
        <v>0</v>
      </c>
      <c r="AE8" t="b">
        <v>0</v>
      </c>
      <c r="AF8">
        <v>0</v>
      </c>
      <c r="AG8">
        <v>1</v>
      </c>
      <c r="AH8" s="15" t="s">
        <v>38</v>
      </c>
      <c r="AI8" t="b">
        <v>0</v>
      </c>
      <c r="AJ8">
        <v>0</v>
      </c>
      <c r="AL8" t="str">
        <f t="shared" si="0"/>
        <v>('4355156d-16e4-44fb-9ac5-e95f0ec74640','2025-05-31 08:27:43.267332+00','866dabc4-6501-44d2-a0e5-65da9c45a46e','2025-05-31 08:27:43.267332+00','866dabc4-6501-44d2-a0e5-65da9c45a46e',TRUE,'003','2024-01-22',0,FALSE,'Unit1','','2022-04-01 08:27:00+00','2022-04-02 08:27:00+00',FALSE,0,FALSE,65,64,0,0,0,0,65,0,FALSE,'','03625504-b150-46f3-b9e6-d572f5b8b776',1,0,FALSE,0,1,'4dbc7800-d343-4d6e-ab27-a7706b0cd126',FALSE,0),</v>
      </c>
    </row>
    <row r="9" spans="1:39" x14ac:dyDescent="0.25">
      <c r="A9" t="s">
        <v>536</v>
      </c>
      <c r="B9" t="s">
        <v>213</v>
      </c>
      <c r="C9" t="s">
        <v>0</v>
      </c>
      <c r="D9" t="s">
        <v>213</v>
      </c>
      <c r="E9" t="s">
        <v>0</v>
      </c>
      <c r="F9" t="b">
        <v>1</v>
      </c>
      <c r="G9" s="34" t="s">
        <v>599</v>
      </c>
      <c r="H9" s="33" t="s">
        <v>329</v>
      </c>
      <c r="I9">
        <v>0</v>
      </c>
      <c r="J9" t="b">
        <v>0</v>
      </c>
      <c r="K9" s="13" t="s">
        <v>215</v>
      </c>
      <c r="M9" t="s">
        <v>217</v>
      </c>
      <c r="N9" t="s">
        <v>218</v>
      </c>
      <c r="O9" t="b">
        <v>0</v>
      </c>
      <c r="P9">
        <v>0</v>
      </c>
      <c r="Q9" t="b">
        <v>0</v>
      </c>
      <c r="R9" s="12">
        <v>65</v>
      </c>
      <c r="S9" s="12">
        <v>64</v>
      </c>
      <c r="T9">
        <v>0</v>
      </c>
      <c r="U9">
        <v>0</v>
      </c>
      <c r="V9">
        <v>0</v>
      </c>
      <c r="W9">
        <v>0</v>
      </c>
      <c r="X9" s="12">
        <v>65</v>
      </c>
      <c r="Y9">
        <v>0</v>
      </c>
      <c r="Z9" t="b">
        <v>0</v>
      </c>
      <c r="AB9" s="14" t="s">
        <v>598</v>
      </c>
      <c r="AC9">
        <v>1</v>
      </c>
      <c r="AD9">
        <v>0</v>
      </c>
      <c r="AE9" t="b">
        <v>0</v>
      </c>
      <c r="AF9">
        <v>0</v>
      </c>
      <c r="AG9">
        <v>1</v>
      </c>
      <c r="AH9" s="15" t="s">
        <v>38</v>
      </c>
      <c r="AI9" t="b">
        <v>0</v>
      </c>
      <c r="AJ9">
        <v>0</v>
      </c>
      <c r="AL9" t="str">
        <f t="shared" si="0"/>
        <v>('2c3b6ffa-7679-40b3-bc00-448d85bc7fe7','2025-05-31 08:27:43.267332+00','866dabc4-6501-44d2-a0e5-65da9c45a46e','2025-05-31 08:27:43.267332+00','866dabc4-6501-44d2-a0e5-65da9c45a46e',TRUE,'003','2024-01-25',0,FALSE,'Unit1','','2022-04-01 08:27:00+00','2022-04-02 08:27:00+00',FALSE,0,FALSE,65,64,0,0,0,0,65,0,FALSE,'','03625504-b150-46f3-b9e6-d572f5b8b776',1,0,FALSE,0,1,'4dbc7800-d343-4d6e-ab27-a7706b0cd126',FALSE,0),</v>
      </c>
    </row>
    <row r="10" spans="1:39" x14ac:dyDescent="0.25">
      <c r="A10" t="s">
        <v>537</v>
      </c>
      <c r="B10" t="s">
        <v>213</v>
      </c>
      <c r="C10" t="s">
        <v>0</v>
      </c>
      <c r="D10" t="s">
        <v>213</v>
      </c>
      <c r="E10" t="s">
        <v>0</v>
      </c>
      <c r="F10" t="b">
        <v>1</v>
      </c>
      <c r="G10" s="34" t="s">
        <v>599</v>
      </c>
      <c r="H10" s="33" t="s">
        <v>330</v>
      </c>
      <c r="I10">
        <v>0</v>
      </c>
      <c r="J10" t="b">
        <v>0</v>
      </c>
      <c r="K10" s="13" t="s">
        <v>215</v>
      </c>
      <c r="M10" t="s">
        <v>217</v>
      </c>
      <c r="N10" t="s">
        <v>218</v>
      </c>
      <c r="O10" t="b">
        <v>0</v>
      </c>
      <c r="P10">
        <v>0</v>
      </c>
      <c r="Q10" t="b">
        <v>0</v>
      </c>
      <c r="R10" s="12">
        <v>65</v>
      </c>
      <c r="S10" s="12">
        <v>64</v>
      </c>
      <c r="T10">
        <v>0</v>
      </c>
      <c r="U10">
        <v>0</v>
      </c>
      <c r="V10">
        <v>0</v>
      </c>
      <c r="W10">
        <v>0</v>
      </c>
      <c r="X10" s="12">
        <v>65</v>
      </c>
      <c r="Y10">
        <v>0</v>
      </c>
      <c r="Z10" t="b">
        <v>0</v>
      </c>
      <c r="AB10" s="14" t="s">
        <v>598</v>
      </c>
      <c r="AC10">
        <v>1</v>
      </c>
      <c r="AD10">
        <v>0</v>
      </c>
      <c r="AE10" t="b">
        <v>0</v>
      </c>
      <c r="AF10">
        <v>0</v>
      </c>
      <c r="AG10">
        <v>1</v>
      </c>
      <c r="AH10" s="15" t="s">
        <v>38</v>
      </c>
      <c r="AI10" t="b">
        <v>0</v>
      </c>
      <c r="AJ10">
        <v>0</v>
      </c>
      <c r="AL10" t="str">
        <f t="shared" si="0"/>
        <v>('a3322c73-aaeb-468e-94b6-d64a2644098d','2025-05-31 08:27:43.267332+00','866dabc4-6501-44d2-a0e5-65da9c45a46e','2025-05-31 08:27:43.267332+00','866dabc4-6501-44d2-a0e5-65da9c45a46e',TRUE,'003','2024-01-29',0,FALSE,'Unit1','','2022-04-01 08:27:00+00','2022-04-02 08:27:00+00',FALSE,0,FALSE,65,64,0,0,0,0,65,0,FALSE,'','03625504-b150-46f3-b9e6-d572f5b8b776',1,0,FALSE,0,1,'4dbc7800-d343-4d6e-ab27-a7706b0cd126',FALSE,0),</v>
      </c>
    </row>
    <row r="11" spans="1:39" x14ac:dyDescent="0.25">
      <c r="A11" t="s">
        <v>538</v>
      </c>
      <c r="B11" t="s">
        <v>213</v>
      </c>
      <c r="C11" t="s">
        <v>0</v>
      </c>
      <c r="D11" t="s">
        <v>213</v>
      </c>
      <c r="E11" t="s">
        <v>0</v>
      </c>
      <c r="F11" t="b">
        <v>1</v>
      </c>
      <c r="G11" s="34" t="s">
        <v>599</v>
      </c>
      <c r="H11" s="33" t="s">
        <v>331</v>
      </c>
      <c r="I11">
        <v>0</v>
      </c>
      <c r="J11" t="b">
        <v>0</v>
      </c>
      <c r="K11" s="13" t="s">
        <v>215</v>
      </c>
      <c r="M11" t="s">
        <v>217</v>
      </c>
      <c r="N11" t="s">
        <v>218</v>
      </c>
      <c r="O11" t="b">
        <v>0</v>
      </c>
      <c r="P11">
        <v>0</v>
      </c>
      <c r="Q11" t="b">
        <v>0</v>
      </c>
      <c r="R11" s="12">
        <v>65</v>
      </c>
      <c r="S11" s="12">
        <v>64</v>
      </c>
      <c r="T11">
        <v>0</v>
      </c>
      <c r="U11">
        <v>0</v>
      </c>
      <c r="V11">
        <v>0</v>
      </c>
      <c r="W11">
        <v>0</v>
      </c>
      <c r="X11" s="12">
        <v>65</v>
      </c>
      <c r="Y11">
        <v>0</v>
      </c>
      <c r="Z11" t="b">
        <v>0</v>
      </c>
      <c r="AB11" s="14" t="s">
        <v>598</v>
      </c>
      <c r="AC11">
        <v>1</v>
      </c>
      <c r="AD11">
        <v>0</v>
      </c>
      <c r="AE11" t="b">
        <v>0</v>
      </c>
      <c r="AF11">
        <v>0</v>
      </c>
      <c r="AG11">
        <v>1</v>
      </c>
      <c r="AH11" s="15" t="s">
        <v>38</v>
      </c>
      <c r="AI11" t="b">
        <v>0</v>
      </c>
      <c r="AJ11">
        <v>0</v>
      </c>
      <c r="AL11" t="str">
        <f t="shared" si="0"/>
        <v>('5cbf9b4b-c16b-4eb4-b294-5730bc125464','2025-05-31 08:27:43.267332+00','866dabc4-6501-44d2-a0e5-65da9c45a46e','2025-05-31 08:27:43.267332+00','866dabc4-6501-44d2-a0e5-65da9c45a46e',TRUE,'003','2024-02-01',0,FALSE,'Unit1','','2022-04-01 08:27:00+00','2022-04-02 08:27:00+00',FALSE,0,FALSE,65,64,0,0,0,0,65,0,FALSE,'','03625504-b150-46f3-b9e6-d572f5b8b776',1,0,FALSE,0,1,'4dbc7800-d343-4d6e-ab27-a7706b0cd126',FALSE,0),</v>
      </c>
    </row>
    <row r="12" spans="1:39" x14ac:dyDescent="0.25">
      <c r="A12" t="s">
        <v>539</v>
      </c>
      <c r="B12" t="s">
        <v>213</v>
      </c>
      <c r="C12" t="s">
        <v>0</v>
      </c>
      <c r="D12" t="s">
        <v>213</v>
      </c>
      <c r="E12" t="s">
        <v>0</v>
      </c>
      <c r="F12" t="b">
        <v>1</v>
      </c>
      <c r="G12" s="34" t="s">
        <v>599</v>
      </c>
      <c r="H12" s="33" t="s">
        <v>332</v>
      </c>
      <c r="I12">
        <v>0</v>
      </c>
      <c r="J12" t="b">
        <v>0</v>
      </c>
      <c r="K12" s="13" t="s">
        <v>215</v>
      </c>
      <c r="M12" t="s">
        <v>217</v>
      </c>
      <c r="N12" t="s">
        <v>218</v>
      </c>
      <c r="O12" t="b">
        <v>0</v>
      </c>
      <c r="P12">
        <v>0</v>
      </c>
      <c r="Q12" t="b">
        <v>0</v>
      </c>
      <c r="R12" s="12">
        <v>65</v>
      </c>
      <c r="S12" s="12">
        <v>64</v>
      </c>
      <c r="T12">
        <v>0</v>
      </c>
      <c r="U12">
        <v>0</v>
      </c>
      <c r="V12">
        <v>0</v>
      </c>
      <c r="W12">
        <v>0</v>
      </c>
      <c r="X12" s="12">
        <v>65</v>
      </c>
      <c r="Y12">
        <v>0</v>
      </c>
      <c r="Z12" t="b">
        <v>0</v>
      </c>
      <c r="AB12" s="14" t="s">
        <v>598</v>
      </c>
      <c r="AC12">
        <v>1</v>
      </c>
      <c r="AD12">
        <v>0</v>
      </c>
      <c r="AE12" t="b">
        <v>0</v>
      </c>
      <c r="AF12">
        <v>0</v>
      </c>
      <c r="AG12">
        <v>1</v>
      </c>
      <c r="AH12" s="15" t="s">
        <v>38</v>
      </c>
      <c r="AI12" t="b">
        <v>0</v>
      </c>
      <c r="AJ12">
        <v>0</v>
      </c>
      <c r="AL12" t="str">
        <f t="shared" si="0"/>
        <v>('ca701d88-3acb-4898-ac69-320a3434025d','2025-05-31 08:27:43.267332+00','866dabc4-6501-44d2-a0e5-65da9c45a46e','2025-05-31 08:27:43.267332+00','866dabc4-6501-44d2-a0e5-65da9c45a46e',TRUE,'003','2024-02-02',0,FALSE,'Unit1','','2022-04-01 08:27:00+00','2022-04-02 08:27:00+00',FALSE,0,FALSE,65,64,0,0,0,0,65,0,FALSE,'','03625504-b150-46f3-b9e6-d572f5b8b776',1,0,FALSE,0,1,'4dbc7800-d343-4d6e-ab27-a7706b0cd126',FALSE,0),</v>
      </c>
    </row>
    <row r="13" spans="1:39" x14ac:dyDescent="0.25">
      <c r="A13" t="s">
        <v>540</v>
      </c>
      <c r="B13" t="s">
        <v>213</v>
      </c>
      <c r="C13" t="s">
        <v>0</v>
      </c>
      <c r="D13" t="s">
        <v>213</v>
      </c>
      <c r="E13" t="s">
        <v>0</v>
      </c>
      <c r="F13" t="b">
        <v>1</v>
      </c>
      <c r="G13" s="34" t="s">
        <v>599</v>
      </c>
      <c r="H13" s="33" t="s">
        <v>333</v>
      </c>
      <c r="I13">
        <v>0</v>
      </c>
      <c r="J13" t="b">
        <v>0</v>
      </c>
      <c r="K13" s="13" t="s">
        <v>215</v>
      </c>
      <c r="M13" t="s">
        <v>217</v>
      </c>
      <c r="N13" t="s">
        <v>218</v>
      </c>
      <c r="O13" t="b">
        <v>0</v>
      </c>
      <c r="P13">
        <v>0</v>
      </c>
      <c r="Q13" t="b">
        <v>0</v>
      </c>
      <c r="R13" s="12">
        <v>65</v>
      </c>
      <c r="S13" s="12">
        <v>64</v>
      </c>
      <c r="T13">
        <v>0</v>
      </c>
      <c r="U13">
        <v>0</v>
      </c>
      <c r="V13">
        <v>0</v>
      </c>
      <c r="W13">
        <v>0</v>
      </c>
      <c r="X13" s="12">
        <v>65</v>
      </c>
      <c r="Y13">
        <v>0</v>
      </c>
      <c r="Z13" t="b">
        <v>0</v>
      </c>
      <c r="AB13" s="14" t="s">
        <v>598</v>
      </c>
      <c r="AC13">
        <v>1</v>
      </c>
      <c r="AD13">
        <v>0</v>
      </c>
      <c r="AE13" t="b">
        <v>0</v>
      </c>
      <c r="AF13">
        <v>0</v>
      </c>
      <c r="AG13">
        <v>1</v>
      </c>
      <c r="AH13" s="15" t="s">
        <v>38</v>
      </c>
      <c r="AI13" t="b">
        <v>0</v>
      </c>
      <c r="AJ13">
        <v>0</v>
      </c>
      <c r="AL13" t="str">
        <f t="shared" si="0"/>
        <v>('51b4ab3d-32ba-4c1c-a937-03c9eb146f3f','2025-05-31 08:27:43.267332+00','866dabc4-6501-44d2-a0e5-65da9c45a46e','2025-05-31 08:27:43.267332+00','866dabc4-6501-44d2-a0e5-65da9c45a46e',TRUE,'003','2024-02-08',0,FALSE,'Unit1','','2022-04-01 08:27:00+00','2022-04-02 08:27:00+00',FALSE,0,FALSE,65,64,0,0,0,0,65,0,FALSE,'','03625504-b150-46f3-b9e6-d572f5b8b776',1,0,FALSE,0,1,'4dbc7800-d343-4d6e-ab27-a7706b0cd126',FALSE,0),</v>
      </c>
    </row>
    <row r="14" spans="1:39" x14ac:dyDescent="0.25">
      <c r="A14" t="s">
        <v>541</v>
      </c>
      <c r="B14" t="s">
        <v>213</v>
      </c>
      <c r="C14" t="s">
        <v>0</v>
      </c>
      <c r="D14" t="s">
        <v>213</v>
      </c>
      <c r="E14" t="s">
        <v>0</v>
      </c>
      <c r="F14" t="b">
        <v>1</v>
      </c>
      <c r="G14" s="34" t="s">
        <v>599</v>
      </c>
      <c r="H14" s="33" t="s">
        <v>334</v>
      </c>
      <c r="I14">
        <v>0</v>
      </c>
      <c r="J14" t="b">
        <v>0</v>
      </c>
      <c r="K14" s="13" t="s">
        <v>215</v>
      </c>
      <c r="M14" t="s">
        <v>217</v>
      </c>
      <c r="N14" t="s">
        <v>218</v>
      </c>
      <c r="O14" t="b">
        <v>0</v>
      </c>
      <c r="P14">
        <v>0</v>
      </c>
      <c r="Q14" t="b">
        <v>0</v>
      </c>
      <c r="R14" s="12">
        <v>65</v>
      </c>
      <c r="S14" s="12">
        <v>64</v>
      </c>
      <c r="T14">
        <v>0</v>
      </c>
      <c r="U14">
        <v>0</v>
      </c>
      <c r="V14">
        <v>0</v>
      </c>
      <c r="W14">
        <v>0</v>
      </c>
      <c r="X14" s="12">
        <v>65</v>
      </c>
      <c r="Y14">
        <v>0</v>
      </c>
      <c r="Z14" t="b">
        <v>0</v>
      </c>
      <c r="AB14" s="14" t="s">
        <v>598</v>
      </c>
      <c r="AC14">
        <v>1</v>
      </c>
      <c r="AD14">
        <v>0</v>
      </c>
      <c r="AE14" t="b">
        <v>0</v>
      </c>
      <c r="AF14">
        <v>0</v>
      </c>
      <c r="AG14">
        <v>1</v>
      </c>
      <c r="AH14" s="15" t="s">
        <v>38</v>
      </c>
      <c r="AI14" t="b">
        <v>0</v>
      </c>
      <c r="AJ14">
        <v>0</v>
      </c>
      <c r="AL14" t="str">
        <f t="shared" si="0"/>
        <v>('a241ce74-7075-406f-998d-6cf3c1b8956a','2025-05-31 08:27:43.267332+00','866dabc4-6501-44d2-a0e5-65da9c45a46e','2025-05-31 08:27:43.267332+00','866dabc4-6501-44d2-a0e5-65da9c45a46e',TRUE,'003','2024-02-12',0,FALSE,'Unit1','','2022-04-01 08:27:00+00','2022-04-02 08:27:00+00',FALSE,0,FALSE,65,64,0,0,0,0,65,0,FALSE,'','03625504-b150-46f3-b9e6-d572f5b8b776',1,0,FALSE,0,1,'4dbc7800-d343-4d6e-ab27-a7706b0cd126',FALSE,0),</v>
      </c>
    </row>
    <row r="15" spans="1:39" x14ac:dyDescent="0.25">
      <c r="A15" t="s">
        <v>542</v>
      </c>
      <c r="B15" t="s">
        <v>213</v>
      </c>
      <c r="C15" t="s">
        <v>0</v>
      </c>
      <c r="D15" t="s">
        <v>213</v>
      </c>
      <c r="E15" t="s">
        <v>0</v>
      </c>
      <c r="F15" t="b">
        <v>1</v>
      </c>
      <c r="G15" s="34" t="s">
        <v>599</v>
      </c>
      <c r="H15" s="33" t="s">
        <v>335</v>
      </c>
      <c r="I15">
        <v>0</v>
      </c>
      <c r="J15" t="b">
        <v>0</v>
      </c>
      <c r="K15" s="13" t="s">
        <v>215</v>
      </c>
      <c r="M15" t="s">
        <v>217</v>
      </c>
      <c r="N15" t="s">
        <v>218</v>
      </c>
      <c r="O15" t="b">
        <v>0</v>
      </c>
      <c r="P15">
        <v>0</v>
      </c>
      <c r="Q15" t="b">
        <v>0</v>
      </c>
      <c r="R15" s="12">
        <v>65</v>
      </c>
      <c r="S15" s="12">
        <v>64</v>
      </c>
      <c r="T15">
        <v>0</v>
      </c>
      <c r="U15">
        <v>0</v>
      </c>
      <c r="V15">
        <v>0</v>
      </c>
      <c r="W15">
        <v>0</v>
      </c>
      <c r="X15" s="12">
        <v>65</v>
      </c>
      <c r="Y15">
        <v>0</v>
      </c>
      <c r="Z15" t="b">
        <v>0</v>
      </c>
      <c r="AB15" s="14" t="s">
        <v>598</v>
      </c>
      <c r="AC15">
        <v>1</v>
      </c>
      <c r="AD15">
        <v>0</v>
      </c>
      <c r="AE15" t="b">
        <v>0</v>
      </c>
      <c r="AF15">
        <v>0</v>
      </c>
      <c r="AG15">
        <v>1</v>
      </c>
      <c r="AH15" s="15" t="s">
        <v>38</v>
      </c>
      <c r="AI15" t="b">
        <v>0</v>
      </c>
      <c r="AJ15">
        <v>0</v>
      </c>
      <c r="AL15" t="str">
        <f t="shared" si="0"/>
        <v>('4bfab929-7ab1-4d4f-86da-4b62c0569b1a','2025-05-31 08:27:43.267332+00','866dabc4-6501-44d2-a0e5-65da9c45a46e','2025-05-31 08:27:43.267332+00','866dabc4-6501-44d2-a0e5-65da9c45a46e',TRUE,'003','2024-02-15',0,FALSE,'Unit1','','2022-04-01 08:27:00+00','2022-04-02 08:27:00+00',FALSE,0,FALSE,65,64,0,0,0,0,65,0,FALSE,'','03625504-b150-46f3-b9e6-d572f5b8b776',1,0,FALSE,0,1,'4dbc7800-d343-4d6e-ab27-a7706b0cd126',FALSE,0),</v>
      </c>
    </row>
    <row r="16" spans="1:39" x14ac:dyDescent="0.25">
      <c r="A16" t="s">
        <v>543</v>
      </c>
      <c r="B16" t="s">
        <v>213</v>
      </c>
      <c r="C16" t="s">
        <v>0</v>
      </c>
      <c r="D16" t="s">
        <v>213</v>
      </c>
      <c r="E16" t="s">
        <v>0</v>
      </c>
      <c r="F16" t="b">
        <v>1</v>
      </c>
      <c r="G16" s="34" t="s">
        <v>599</v>
      </c>
      <c r="H16" s="33" t="s">
        <v>336</v>
      </c>
      <c r="I16">
        <v>0</v>
      </c>
      <c r="J16" t="b">
        <v>0</v>
      </c>
      <c r="K16" s="13" t="s">
        <v>215</v>
      </c>
      <c r="M16" t="s">
        <v>217</v>
      </c>
      <c r="N16" t="s">
        <v>218</v>
      </c>
      <c r="O16" t="b">
        <v>0</v>
      </c>
      <c r="P16">
        <v>0</v>
      </c>
      <c r="Q16" t="b">
        <v>0</v>
      </c>
      <c r="R16" s="12">
        <v>65</v>
      </c>
      <c r="S16" s="12">
        <v>64</v>
      </c>
      <c r="T16">
        <v>0</v>
      </c>
      <c r="U16">
        <v>0</v>
      </c>
      <c r="V16">
        <v>0</v>
      </c>
      <c r="W16">
        <v>0</v>
      </c>
      <c r="X16" s="12">
        <v>65</v>
      </c>
      <c r="Y16">
        <v>0</v>
      </c>
      <c r="Z16" t="b">
        <v>0</v>
      </c>
      <c r="AB16" s="14" t="s">
        <v>598</v>
      </c>
      <c r="AC16">
        <v>1</v>
      </c>
      <c r="AD16">
        <v>0</v>
      </c>
      <c r="AE16" t="b">
        <v>0</v>
      </c>
      <c r="AF16">
        <v>0</v>
      </c>
      <c r="AG16">
        <v>1</v>
      </c>
      <c r="AH16" s="15" t="s">
        <v>38</v>
      </c>
      <c r="AI16" t="b">
        <v>0</v>
      </c>
      <c r="AJ16">
        <v>0</v>
      </c>
      <c r="AL16" t="str">
        <f t="shared" si="0"/>
        <v>('530e8dad-628e-4c06-8bf6-d7e2f5de760e','2025-05-31 08:27:43.267332+00','866dabc4-6501-44d2-a0e5-65da9c45a46e','2025-05-31 08:27:43.267332+00','866dabc4-6501-44d2-a0e5-65da9c45a46e',TRUE,'003','2024-02-19',0,FALSE,'Unit1','','2022-04-01 08:27:00+00','2022-04-02 08:27:00+00',FALSE,0,FALSE,65,64,0,0,0,0,65,0,FALSE,'','03625504-b150-46f3-b9e6-d572f5b8b776',1,0,FALSE,0,1,'4dbc7800-d343-4d6e-ab27-a7706b0cd126',FALSE,0),</v>
      </c>
    </row>
    <row r="17" spans="1:38" x14ac:dyDescent="0.25">
      <c r="A17" t="s">
        <v>544</v>
      </c>
      <c r="B17" t="s">
        <v>213</v>
      </c>
      <c r="C17" t="s">
        <v>0</v>
      </c>
      <c r="D17" t="s">
        <v>213</v>
      </c>
      <c r="E17" t="s">
        <v>0</v>
      </c>
      <c r="F17" t="b">
        <v>1</v>
      </c>
      <c r="G17" s="34" t="s">
        <v>599</v>
      </c>
      <c r="H17" s="33" t="s">
        <v>337</v>
      </c>
      <c r="I17">
        <v>0</v>
      </c>
      <c r="J17" t="b">
        <v>0</v>
      </c>
      <c r="K17" s="13" t="s">
        <v>215</v>
      </c>
      <c r="M17" t="s">
        <v>217</v>
      </c>
      <c r="N17" t="s">
        <v>218</v>
      </c>
      <c r="O17" t="b">
        <v>0</v>
      </c>
      <c r="P17">
        <v>0</v>
      </c>
      <c r="Q17" t="b">
        <v>0</v>
      </c>
      <c r="R17" s="12">
        <v>65</v>
      </c>
      <c r="S17" s="12">
        <v>64</v>
      </c>
      <c r="T17">
        <v>0</v>
      </c>
      <c r="U17">
        <v>0</v>
      </c>
      <c r="V17">
        <v>0</v>
      </c>
      <c r="W17">
        <v>0</v>
      </c>
      <c r="X17" s="12">
        <v>65</v>
      </c>
      <c r="Y17">
        <v>0</v>
      </c>
      <c r="Z17" t="b">
        <v>0</v>
      </c>
      <c r="AB17" s="14" t="s">
        <v>598</v>
      </c>
      <c r="AC17">
        <v>1</v>
      </c>
      <c r="AD17">
        <v>0</v>
      </c>
      <c r="AE17" t="b">
        <v>0</v>
      </c>
      <c r="AF17">
        <v>0</v>
      </c>
      <c r="AG17">
        <v>1</v>
      </c>
      <c r="AH17" s="15" t="s">
        <v>38</v>
      </c>
      <c r="AI17" t="b">
        <v>0</v>
      </c>
      <c r="AJ17">
        <v>0</v>
      </c>
      <c r="AL17" t="str">
        <f t="shared" si="0"/>
        <v>('d3961ee7-7865-4d2e-b156-21aa56e0c237','2025-05-31 08:27:43.267332+00','866dabc4-6501-44d2-a0e5-65da9c45a46e','2025-05-31 08:27:43.267332+00','866dabc4-6501-44d2-a0e5-65da9c45a46e',TRUE,'003','2024-02-22',0,FALSE,'Unit1','','2022-04-01 08:27:00+00','2022-04-02 08:27:00+00',FALSE,0,FALSE,65,64,0,0,0,0,65,0,FALSE,'','03625504-b150-46f3-b9e6-d572f5b8b776',1,0,FALSE,0,1,'4dbc7800-d343-4d6e-ab27-a7706b0cd126',FALSE,0),</v>
      </c>
    </row>
    <row r="18" spans="1:38" x14ac:dyDescent="0.25">
      <c r="A18" t="s">
        <v>545</v>
      </c>
      <c r="B18" t="s">
        <v>213</v>
      </c>
      <c r="C18" t="s">
        <v>0</v>
      </c>
      <c r="D18" t="s">
        <v>213</v>
      </c>
      <c r="E18" t="s">
        <v>0</v>
      </c>
      <c r="F18" t="b">
        <v>1</v>
      </c>
      <c r="G18" s="34" t="s">
        <v>599</v>
      </c>
      <c r="H18" s="33" t="s">
        <v>338</v>
      </c>
      <c r="I18">
        <v>0</v>
      </c>
      <c r="J18" t="b">
        <v>0</v>
      </c>
      <c r="K18" s="13" t="s">
        <v>215</v>
      </c>
      <c r="M18" t="s">
        <v>217</v>
      </c>
      <c r="N18" t="s">
        <v>218</v>
      </c>
      <c r="O18" t="b">
        <v>0</v>
      </c>
      <c r="P18">
        <v>0</v>
      </c>
      <c r="Q18" t="b">
        <v>0</v>
      </c>
      <c r="R18" s="12">
        <v>65</v>
      </c>
      <c r="S18" s="12">
        <v>64</v>
      </c>
      <c r="T18">
        <v>0</v>
      </c>
      <c r="U18">
        <v>0</v>
      </c>
      <c r="V18">
        <v>0</v>
      </c>
      <c r="W18">
        <v>0</v>
      </c>
      <c r="X18" s="12">
        <v>65</v>
      </c>
      <c r="Y18">
        <v>0</v>
      </c>
      <c r="Z18" t="b">
        <v>0</v>
      </c>
      <c r="AB18" s="14" t="s">
        <v>598</v>
      </c>
      <c r="AC18">
        <v>1</v>
      </c>
      <c r="AD18">
        <v>0</v>
      </c>
      <c r="AE18" t="b">
        <v>0</v>
      </c>
      <c r="AF18">
        <v>0</v>
      </c>
      <c r="AG18">
        <v>1</v>
      </c>
      <c r="AH18" s="15" t="s">
        <v>38</v>
      </c>
      <c r="AI18" t="b">
        <v>0</v>
      </c>
      <c r="AJ18">
        <v>0</v>
      </c>
      <c r="AL18" t="str">
        <f t="shared" si="0"/>
        <v>('c3db5d7e-35c3-4741-96f0-24ddf13bef42','2025-05-31 08:27:43.267332+00','866dabc4-6501-44d2-a0e5-65da9c45a46e','2025-05-31 08:27:43.267332+00','866dabc4-6501-44d2-a0e5-65da9c45a46e',TRUE,'003','2024-02-26',0,FALSE,'Unit1','','2022-04-01 08:27:00+00','2022-04-02 08:27:00+00',FALSE,0,FALSE,65,64,0,0,0,0,65,0,FALSE,'','03625504-b150-46f3-b9e6-d572f5b8b776',1,0,FALSE,0,1,'4dbc7800-d343-4d6e-ab27-a7706b0cd126',FALSE,0),</v>
      </c>
    </row>
    <row r="19" spans="1:38" x14ac:dyDescent="0.25">
      <c r="A19" t="s">
        <v>546</v>
      </c>
      <c r="B19" t="s">
        <v>213</v>
      </c>
      <c r="C19" t="s">
        <v>0</v>
      </c>
      <c r="D19" t="s">
        <v>213</v>
      </c>
      <c r="E19" t="s">
        <v>0</v>
      </c>
      <c r="F19" t="b">
        <v>1</v>
      </c>
      <c r="G19" s="34" t="s">
        <v>599</v>
      </c>
      <c r="H19" s="33" t="s">
        <v>339</v>
      </c>
      <c r="I19">
        <v>0</v>
      </c>
      <c r="J19" t="b">
        <v>0</v>
      </c>
      <c r="K19" s="13" t="s">
        <v>215</v>
      </c>
      <c r="M19" t="s">
        <v>217</v>
      </c>
      <c r="N19" t="s">
        <v>218</v>
      </c>
      <c r="O19" t="b">
        <v>0</v>
      </c>
      <c r="P19">
        <v>0</v>
      </c>
      <c r="Q19" t="b">
        <v>0</v>
      </c>
      <c r="R19" s="12">
        <v>65</v>
      </c>
      <c r="S19" s="12">
        <v>64</v>
      </c>
      <c r="T19">
        <v>0</v>
      </c>
      <c r="U19">
        <v>0</v>
      </c>
      <c r="V19">
        <v>0</v>
      </c>
      <c r="W19">
        <v>0</v>
      </c>
      <c r="X19" s="12">
        <v>65</v>
      </c>
      <c r="Y19">
        <v>0</v>
      </c>
      <c r="Z19" t="b">
        <v>0</v>
      </c>
      <c r="AB19" s="14" t="s">
        <v>598</v>
      </c>
      <c r="AC19">
        <v>1</v>
      </c>
      <c r="AD19">
        <v>0</v>
      </c>
      <c r="AE19" t="b">
        <v>0</v>
      </c>
      <c r="AF19">
        <v>0</v>
      </c>
      <c r="AG19">
        <v>1</v>
      </c>
      <c r="AH19" s="15" t="s">
        <v>38</v>
      </c>
      <c r="AI19" t="b">
        <v>0</v>
      </c>
      <c r="AJ19">
        <v>0</v>
      </c>
      <c r="AL19" t="str">
        <f t="shared" si="0"/>
        <v>('8f9a3c50-e3cb-4da6-9efb-9dd6ef0503a2','2025-05-31 08:27:43.267332+00','866dabc4-6501-44d2-a0e5-65da9c45a46e','2025-05-31 08:27:43.267332+00','866dabc4-6501-44d2-a0e5-65da9c45a46e',TRUE,'003','2024-02-29',0,FALSE,'Unit1','','2022-04-01 08:27:00+00','2022-04-02 08:27:00+00',FALSE,0,FALSE,65,64,0,0,0,0,65,0,FALSE,'','03625504-b150-46f3-b9e6-d572f5b8b776',1,0,FALSE,0,1,'4dbc7800-d343-4d6e-ab27-a7706b0cd126',FALSE,0),</v>
      </c>
    </row>
    <row r="20" spans="1:38" x14ac:dyDescent="0.25">
      <c r="A20" t="s">
        <v>547</v>
      </c>
      <c r="B20" t="s">
        <v>213</v>
      </c>
      <c r="C20" t="s">
        <v>0</v>
      </c>
      <c r="D20" t="s">
        <v>213</v>
      </c>
      <c r="E20" t="s">
        <v>0</v>
      </c>
      <c r="F20" t="b">
        <v>1</v>
      </c>
      <c r="G20" s="34" t="s">
        <v>599</v>
      </c>
      <c r="H20" s="33" t="s">
        <v>340</v>
      </c>
      <c r="I20">
        <v>0</v>
      </c>
      <c r="J20" t="b">
        <v>0</v>
      </c>
      <c r="K20" s="13" t="s">
        <v>215</v>
      </c>
      <c r="M20" t="s">
        <v>217</v>
      </c>
      <c r="N20" t="s">
        <v>218</v>
      </c>
      <c r="O20" t="b">
        <v>0</v>
      </c>
      <c r="P20">
        <v>0</v>
      </c>
      <c r="Q20" t="b">
        <v>0</v>
      </c>
      <c r="R20" s="12">
        <v>65</v>
      </c>
      <c r="S20" s="12">
        <v>64</v>
      </c>
      <c r="T20">
        <v>0</v>
      </c>
      <c r="U20">
        <v>0</v>
      </c>
      <c r="V20">
        <v>0</v>
      </c>
      <c r="W20">
        <v>0</v>
      </c>
      <c r="X20" s="12">
        <v>65</v>
      </c>
      <c r="Y20">
        <v>0</v>
      </c>
      <c r="Z20" t="b">
        <v>0</v>
      </c>
      <c r="AB20" s="14" t="s">
        <v>598</v>
      </c>
      <c r="AC20">
        <v>1</v>
      </c>
      <c r="AD20">
        <v>0</v>
      </c>
      <c r="AE20" t="b">
        <v>0</v>
      </c>
      <c r="AF20">
        <v>0</v>
      </c>
      <c r="AG20">
        <v>1</v>
      </c>
      <c r="AH20" s="15" t="s">
        <v>38</v>
      </c>
      <c r="AI20" t="b">
        <v>0</v>
      </c>
      <c r="AJ20">
        <v>0</v>
      </c>
      <c r="AL20" t="str">
        <f t="shared" si="0"/>
        <v>('2e393ae1-da80-4a5b-811d-f8b8b4191562','2025-05-31 08:27:43.267332+00','866dabc4-6501-44d2-a0e5-65da9c45a46e','2025-05-31 08:27:43.267332+00','866dabc4-6501-44d2-a0e5-65da9c45a46e',TRUE,'003','2024-03-04',0,FALSE,'Unit1','','2022-04-01 08:27:00+00','2022-04-02 08:27:00+00',FALSE,0,FALSE,65,64,0,0,0,0,65,0,FALSE,'','03625504-b150-46f3-b9e6-d572f5b8b776',1,0,FALSE,0,1,'4dbc7800-d343-4d6e-ab27-a7706b0cd126',FALSE,0),</v>
      </c>
    </row>
    <row r="21" spans="1:38" x14ac:dyDescent="0.25">
      <c r="A21" s="25" t="s">
        <v>548</v>
      </c>
      <c r="B21" t="s">
        <v>213</v>
      </c>
      <c r="C21" t="s">
        <v>0</v>
      </c>
      <c r="D21" t="s">
        <v>213</v>
      </c>
      <c r="E21" t="s">
        <v>0</v>
      </c>
      <c r="F21" t="b">
        <v>1</v>
      </c>
      <c r="G21" s="34" t="s">
        <v>599</v>
      </c>
      <c r="H21" s="33" t="s">
        <v>341</v>
      </c>
      <c r="I21">
        <v>0</v>
      </c>
      <c r="J21" t="b">
        <v>0</v>
      </c>
      <c r="K21" s="13" t="s">
        <v>215</v>
      </c>
      <c r="M21" t="s">
        <v>217</v>
      </c>
      <c r="N21" t="s">
        <v>218</v>
      </c>
      <c r="O21" t="b">
        <v>0</v>
      </c>
      <c r="P21">
        <v>0</v>
      </c>
      <c r="Q21" t="b">
        <v>0</v>
      </c>
      <c r="R21" s="12">
        <v>65</v>
      </c>
      <c r="S21" s="12">
        <v>64</v>
      </c>
      <c r="T21">
        <v>0</v>
      </c>
      <c r="U21">
        <v>0</v>
      </c>
      <c r="V21">
        <v>0</v>
      </c>
      <c r="W21">
        <v>0</v>
      </c>
      <c r="X21" s="12">
        <v>65</v>
      </c>
      <c r="Y21">
        <v>0</v>
      </c>
      <c r="Z21" t="b">
        <v>0</v>
      </c>
      <c r="AB21" s="14" t="s">
        <v>598</v>
      </c>
      <c r="AC21">
        <v>1</v>
      </c>
      <c r="AD21">
        <v>0</v>
      </c>
      <c r="AE21" t="b">
        <v>0</v>
      </c>
      <c r="AF21">
        <v>0</v>
      </c>
      <c r="AG21">
        <v>1</v>
      </c>
      <c r="AH21" s="15" t="s">
        <v>38</v>
      </c>
      <c r="AI21" t="b">
        <v>0</v>
      </c>
      <c r="AJ21">
        <v>0</v>
      </c>
      <c r="AL21" t="str">
        <f t="shared" si="0"/>
        <v>('3e5b82d2-b5f8-47a6-a838-8ea3a4c40ccb','2025-05-31 08:27:43.267332+00','866dabc4-6501-44d2-a0e5-65da9c45a46e','2025-05-31 08:27:43.267332+00','866dabc4-6501-44d2-a0e5-65da9c45a46e',TRUE,'003','2024-03-07',0,FALSE,'Unit1','','2022-04-01 08:27:00+00','2022-04-02 08:27:00+00',FALSE,0,FALSE,65,64,0,0,0,0,65,0,FALSE,'','03625504-b150-46f3-b9e6-d572f5b8b776',1,0,FALSE,0,1,'4dbc7800-d343-4d6e-ab27-a7706b0cd126',FALSE,0),</v>
      </c>
    </row>
    <row r="22" spans="1:38" x14ac:dyDescent="0.25">
      <c r="A22" t="s">
        <v>549</v>
      </c>
      <c r="B22" t="s">
        <v>213</v>
      </c>
      <c r="C22" t="s">
        <v>0</v>
      </c>
      <c r="D22" t="s">
        <v>213</v>
      </c>
      <c r="E22" t="s">
        <v>0</v>
      </c>
      <c r="F22" t="b">
        <v>1</v>
      </c>
      <c r="G22" s="34" t="s">
        <v>599</v>
      </c>
      <c r="H22" s="33" t="s">
        <v>342</v>
      </c>
      <c r="I22">
        <v>0</v>
      </c>
      <c r="J22" t="b">
        <v>0</v>
      </c>
      <c r="K22" s="13" t="s">
        <v>215</v>
      </c>
      <c r="M22" t="s">
        <v>217</v>
      </c>
      <c r="N22" t="s">
        <v>218</v>
      </c>
      <c r="O22" t="b">
        <v>0</v>
      </c>
      <c r="P22">
        <v>0</v>
      </c>
      <c r="Q22" t="b">
        <v>0</v>
      </c>
      <c r="R22" s="12">
        <v>65</v>
      </c>
      <c r="S22" s="12">
        <v>64</v>
      </c>
      <c r="T22">
        <v>0</v>
      </c>
      <c r="U22">
        <v>0</v>
      </c>
      <c r="V22">
        <v>0</v>
      </c>
      <c r="W22">
        <v>0</v>
      </c>
      <c r="X22" s="12">
        <v>65</v>
      </c>
      <c r="Y22">
        <v>0</v>
      </c>
      <c r="Z22" t="b">
        <v>0</v>
      </c>
      <c r="AB22" s="14" t="s">
        <v>598</v>
      </c>
      <c r="AC22">
        <v>1</v>
      </c>
      <c r="AD22">
        <v>0</v>
      </c>
      <c r="AE22" t="b">
        <v>0</v>
      </c>
      <c r="AF22">
        <v>0</v>
      </c>
      <c r="AG22">
        <v>1</v>
      </c>
      <c r="AH22" s="15" t="s">
        <v>38</v>
      </c>
      <c r="AI22" t="b">
        <v>0</v>
      </c>
      <c r="AJ22">
        <v>0</v>
      </c>
      <c r="AL22" t="str">
        <f t="shared" si="0"/>
        <v>('529c51f2-e2ce-43f6-ab3a-cc57ca5a7292','2025-05-31 08:27:43.267332+00','866dabc4-6501-44d2-a0e5-65da9c45a46e','2025-05-31 08:27:43.267332+00','866dabc4-6501-44d2-a0e5-65da9c45a46e',TRUE,'003','2024-03-11',0,FALSE,'Unit1','','2022-04-01 08:27:00+00','2022-04-02 08:27:00+00',FALSE,0,FALSE,65,64,0,0,0,0,65,0,FALSE,'','03625504-b150-46f3-b9e6-d572f5b8b776',1,0,FALSE,0,1,'4dbc7800-d343-4d6e-ab27-a7706b0cd126',FALSE,0),</v>
      </c>
    </row>
    <row r="23" spans="1:38" x14ac:dyDescent="0.25">
      <c r="A23" t="s">
        <v>550</v>
      </c>
      <c r="B23" t="s">
        <v>213</v>
      </c>
      <c r="C23" t="s">
        <v>0</v>
      </c>
      <c r="D23" t="s">
        <v>213</v>
      </c>
      <c r="E23" t="s">
        <v>0</v>
      </c>
      <c r="F23" t="b">
        <v>1</v>
      </c>
      <c r="G23" s="34" t="s">
        <v>599</v>
      </c>
      <c r="H23" s="33" t="s">
        <v>343</v>
      </c>
      <c r="I23">
        <v>0</v>
      </c>
      <c r="J23" t="b">
        <v>0</v>
      </c>
      <c r="K23" s="13" t="s">
        <v>215</v>
      </c>
      <c r="M23" t="s">
        <v>217</v>
      </c>
      <c r="N23" t="s">
        <v>218</v>
      </c>
      <c r="O23" t="b">
        <v>0</v>
      </c>
      <c r="P23">
        <v>0</v>
      </c>
      <c r="Q23" t="b">
        <v>0</v>
      </c>
      <c r="R23" s="12">
        <v>65</v>
      </c>
      <c r="S23" s="12">
        <v>64</v>
      </c>
      <c r="T23">
        <v>0</v>
      </c>
      <c r="U23">
        <v>0</v>
      </c>
      <c r="V23">
        <v>0</v>
      </c>
      <c r="W23">
        <v>0</v>
      </c>
      <c r="X23" s="12">
        <v>65</v>
      </c>
      <c r="Y23">
        <v>0</v>
      </c>
      <c r="Z23" t="b">
        <v>0</v>
      </c>
      <c r="AB23" s="14" t="s">
        <v>598</v>
      </c>
      <c r="AC23">
        <v>1</v>
      </c>
      <c r="AD23">
        <v>0</v>
      </c>
      <c r="AE23" t="b">
        <v>0</v>
      </c>
      <c r="AF23">
        <v>0</v>
      </c>
      <c r="AG23">
        <v>1</v>
      </c>
      <c r="AH23" s="15" t="s">
        <v>38</v>
      </c>
      <c r="AI23" t="b">
        <v>0</v>
      </c>
      <c r="AJ23">
        <v>0</v>
      </c>
      <c r="AL23" t="str">
        <f t="shared" si="0"/>
        <v>('36cc670f-b9eb-4363-967d-e17c7dbde052','2025-05-31 08:27:43.267332+00','866dabc4-6501-44d2-a0e5-65da9c45a46e','2025-05-31 08:27:43.267332+00','866dabc4-6501-44d2-a0e5-65da9c45a46e',TRUE,'003','2024-03-14',0,FALSE,'Unit1','','2022-04-01 08:27:00+00','2022-04-02 08:27:00+00',FALSE,0,FALSE,65,64,0,0,0,0,65,0,FALSE,'','03625504-b150-46f3-b9e6-d572f5b8b776',1,0,FALSE,0,1,'4dbc7800-d343-4d6e-ab27-a7706b0cd126',FALSE,0),</v>
      </c>
    </row>
    <row r="24" spans="1:38" x14ac:dyDescent="0.25">
      <c r="A24" t="s">
        <v>551</v>
      </c>
      <c r="B24" t="s">
        <v>213</v>
      </c>
      <c r="C24" t="s">
        <v>0</v>
      </c>
      <c r="D24" t="s">
        <v>213</v>
      </c>
      <c r="E24" t="s">
        <v>0</v>
      </c>
      <c r="F24" t="b">
        <v>1</v>
      </c>
      <c r="G24" s="34" t="s">
        <v>599</v>
      </c>
      <c r="H24" s="33" t="s">
        <v>344</v>
      </c>
      <c r="I24">
        <v>0</v>
      </c>
      <c r="J24" t="b">
        <v>0</v>
      </c>
      <c r="K24" s="13" t="s">
        <v>215</v>
      </c>
      <c r="M24" t="s">
        <v>217</v>
      </c>
      <c r="N24" t="s">
        <v>218</v>
      </c>
      <c r="O24" t="b">
        <v>0</v>
      </c>
      <c r="P24">
        <v>0</v>
      </c>
      <c r="Q24" t="b">
        <v>0</v>
      </c>
      <c r="R24" s="12">
        <v>65</v>
      </c>
      <c r="S24" s="12">
        <v>64</v>
      </c>
      <c r="T24">
        <v>0</v>
      </c>
      <c r="U24">
        <v>0</v>
      </c>
      <c r="V24">
        <v>0</v>
      </c>
      <c r="W24">
        <v>0</v>
      </c>
      <c r="X24" s="12">
        <v>65</v>
      </c>
      <c r="Y24">
        <v>0</v>
      </c>
      <c r="Z24" t="b">
        <v>0</v>
      </c>
      <c r="AB24" s="14" t="s">
        <v>598</v>
      </c>
      <c r="AC24">
        <v>1</v>
      </c>
      <c r="AD24">
        <v>0</v>
      </c>
      <c r="AE24" t="b">
        <v>0</v>
      </c>
      <c r="AF24">
        <v>0</v>
      </c>
      <c r="AG24">
        <v>1</v>
      </c>
      <c r="AH24" s="15" t="s">
        <v>38</v>
      </c>
      <c r="AI24" t="b">
        <v>0</v>
      </c>
      <c r="AJ24">
        <v>0</v>
      </c>
      <c r="AL24" t="str">
        <f t="shared" si="0"/>
        <v>('257c465a-aad9-44c5-8756-868ea21d42b1','2025-05-31 08:27:43.267332+00','866dabc4-6501-44d2-a0e5-65da9c45a46e','2025-05-31 08:27:43.267332+00','866dabc4-6501-44d2-a0e5-65da9c45a46e',TRUE,'003','2024-03-18',0,FALSE,'Unit1','','2022-04-01 08:27:00+00','2022-04-02 08:27:00+00',FALSE,0,FALSE,65,64,0,0,0,0,65,0,FALSE,'','03625504-b150-46f3-b9e6-d572f5b8b776',1,0,FALSE,0,1,'4dbc7800-d343-4d6e-ab27-a7706b0cd126',FALSE,0),</v>
      </c>
    </row>
    <row r="25" spans="1:38" x14ac:dyDescent="0.25">
      <c r="A25" t="s">
        <v>552</v>
      </c>
      <c r="B25" t="s">
        <v>213</v>
      </c>
      <c r="C25" t="s">
        <v>0</v>
      </c>
      <c r="D25" t="s">
        <v>213</v>
      </c>
      <c r="E25" t="s">
        <v>0</v>
      </c>
      <c r="F25" t="b">
        <v>1</v>
      </c>
      <c r="G25" s="34" t="s">
        <v>599</v>
      </c>
      <c r="H25" s="33" t="s">
        <v>345</v>
      </c>
      <c r="I25">
        <v>0</v>
      </c>
      <c r="J25" t="b">
        <v>0</v>
      </c>
      <c r="K25" s="13" t="s">
        <v>215</v>
      </c>
      <c r="M25" t="s">
        <v>217</v>
      </c>
      <c r="N25" t="s">
        <v>218</v>
      </c>
      <c r="O25" t="b">
        <v>0</v>
      </c>
      <c r="P25">
        <v>0</v>
      </c>
      <c r="Q25" t="b">
        <v>0</v>
      </c>
      <c r="R25" s="12">
        <v>65</v>
      </c>
      <c r="S25" s="12">
        <v>64</v>
      </c>
      <c r="T25">
        <v>0</v>
      </c>
      <c r="U25">
        <v>0</v>
      </c>
      <c r="V25">
        <v>0</v>
      </c>
      <c r="W25">
        <v>0</v>
      </c>
      <c r="X25" s="12">
        <v>65</v>
      </c>
      <c r="Y25">
        <v>0</v>
      </c>
      <c r="Z25" t="b">
        <v>0</v>
      </c>
      <c r="AB25" s="14" t="s">
        <v>598</v>
      </c>
      <c r="AC25">
        <v>1</v>
      </c>
      <c r="AD25">
        <v>0</v>
      </c>
      <c r="AE25" t="b">
        <v>0</v>
      </c>
      <c r="AF25">
        <v>0</v>
      </c>
      <c r="AG25">
        <v>1</v>
      </c>
      <c r="AH25" s="15" t="s">
        <v>38</v>
      </c>
      <c r="AI25" t="b">
        <v>0</v>
      </c>
      <c r="AJ25">
        <v>0</v>
      </c>
      <c r="AL25" t="str">
        <f t="shared" si="0"/>
        <v>('940622a4-8f7c-4735-a52a-4b110455f2c8','2025-05-31 08:27:43.267332+00','866dabc4-6501-44d2-a0e5-65da9c45a46e','2025-05-31 08:27:43.267332+00','866dabc4-6501-44d2-a0e5-65da9c45a46e',TRUE,'003','2024-03-21',0,FALSE,'Unit1','','2022-04-01 08:27:00+00','2022-04-02 08:27:00+00',FALSE,0,FALSE,65,64,0,0,0,0,65,0,FALSE,'','03625504-b150-46f3-b9e6-d572f5b8b776',1,0,FALSE,0,1,'4dbc7800-d343-4d6e-ab27-a7706b0cd126',FALSE,0),</v>
      </c>
    </row>
    <row r="26" spans="1:38" x14ac:dyDescent="0.25">
      <c r="A26" t="s">
        <v>553</v>
      </c>
      <c r="B26" t="s">
        <v>213</v>
      </c>
      <c r="C26" t="s">
        <v>0</v>
      </c>
      <c r="D26" t="s">
        <v>213</v>
      </c>
      <c r="E26" t="s">
        <v>0</v>
      </c>
      <c r="F26" t="b">
        <v>1</v>
      </c>
      <c r="G26" s="34" t="s">
        <v>599</v>
      </c>
      <c r="H26" s="33" t="s">
        <v>346</v>
      </c>
      <c r="I26">
        <v>0</v>
      </c>
      <c r="J26" t="b">
        <v>0</v>
      </c>
      <c r="K26" s="13" t="s">
        <v>215</v>
      </c>
      <c r="M26" t="s">
        <v>217</v>
      </c>
      <c r="N26" t="s">
        <v>218</v>
      </c>
      <c r="O26" t="b">
        <v>0</v>
      </c>
      <c r="P26">
        <v>0</v>
      </c>
      <c r="Q26" t="b">
        <v>0</v>
      </c>
      <c r="R26" s="12">
        <v>65</v>
      </c>
      <c r="S26" s="12">
        <v>64</v>
      </c>
      <c r="T26">
        <v>0</v>
      </c>
      <c r="U26">
        <v>0</v>
      </c>
      <c r="V26">
        <v>0</v>
      </c>
      <c r="W26">
        <v>0</v>
      </c>
      <c r="X26" s="12">
        <v>65</v>
      </c>
      <c r="Y26">
        <v>0</v>
      </c>
      <c r="Z26" t="b">
        <v>0</v>
      </c>
      <c r="AB26" s="14" t="s">
        <v>598</v>
      </c>
      <c r="AC26">
        <v>1</v>
      </c>
      <c r="AD26">
        <v>0</v>
      </c>
      <c r="AE26" t="b">
        <v>0</v>
      </c>
      <c r="AF26">
        <v>0</v>
      </c>
      <c r="AG26">
        <v>1</v>
      </c>
      <c r="AH26" s="15" t="s">
        <v>38</v>
      </c>
      <c r="AI26" t="b">
        <v>0</v>
      </c>
      <c r="AJ26">
        <v>0</v>
      </c>
      <c r="AL26" t="str">
        <f t="shared" si="0"/>
        <v>('7ab8ea1d-c0d8-435e-9cd9-a19a1004bfa5','2025-05-31 08:27:43.267332+00','866dabc4-6501-44d2-a0e5-65da9c45a46e','2025-05-31 08:27:43.267332+00','866dabc4-6501-44d2-a0e5-65da9c45a46e',TRUE,'003','2024-03-25',0,FALSE,'Unit1','','2022-04-01 08:27:00+00','2022-04-02 08:27:00+00',FALSE,0,FALSE,65,64,0,0,0,0,65,0,FALSE,'','03625504-b150-46f3-b9e6-d572f5b8b776',1,0,FALSE,0,1,'4dbc7800-d343-4d6e-ab27-a7706b0cd126',FALSE,0),</v>
      </c>
    </row>
    <row r="27" spans="1:38" x14ac:dyDescent="0.25">
      <c r="A27" t="s">
        <v>554</v>
      </c>
      <c r="B27" t="s">
        <v>213</v>
      </c>
      <c r="C27" t="s">
        <v>0</v>
      </c>
      <c r="D27" t="s">
        <v>213</v>
      </c>
      <c r="E27" t="s">
        <v>0</v>
      </c>
      <c r="F27" t="b">
        <v>1</v>
      </c>
      <c r="G27" s="34" t="s">
        <v>599</v>
      </c>
      <c r="H27" s="33" t="s">
        <v>347</v>
      </c>
      <c r="I27">
        <v>0</v>
      </c>
      <c r="J27" t="b">
        <v>0</v>
      </c>
      <c r="K27" s="13" t="s">
        <v>215</v>
      </c>
      <c r="M27" t="s">
        <v>217</v>
      </c>
      <c r="N27" t="s">
        <v>218</v>
      </c>
      <c r="O27" t="b">
        <v>0</v>
      </c>
      <c r="P27">
        <v>0</v>
      </c>
      <c r="Q27" t="b">
        <v>0</v>
      </c>
      <c r="R27" s="12">
        <v>65</v>
      </c>
      <c r="S27" s="12">
        <v>64</v>
      </c>
      <c r="T27">
        <v>0</v>
      </c>
      <c r="U27">
        <v>0</v>
      </c>
      <c r="V27">
        <v>0</v>
      </c>
      <c r="W27">
        <v>0</v>
      </c>
      <c r="X27" s="12">
        <v>65</v>
      </c>
      <c r="Y27">
        <v>0</v>
      </c>
      <c r="Z27" t="b">
        <v>0</v>
      </c>
      <c r="AB27" s="14" t="s">
        <v>598</v>
      </c>
      <c r="AC27">
        <v>1</v>
      </c>
      <c r="AD27">
        <v>0</v>
      </c>
      <c r="AE27" t="b">
        <v>0</v>
      </c>
      <c r="AF27">
        <v>0</v>
      </c>
      <c r="AG27">
        <v>1</v>
      </c>
      <c r="AH27" s="15" t="s">
        <v>38</v>
      </c>
      <c r="AI27" t="b">
        <v>0</v>
      </c>
      <c r="AJ27">
        <v>0</v>
      </c>
      <c r="AL27" t="str">
        <f t="shared" si="0"/>
        <v>('2297dd21-8dc5-43f1-a1cb-9ade8664f598','2025-05-31 08:27:43.267332+00','866dabc4-6501-44d2-a0e5-65da9c45a46e','2025-05-31 08:27:43.267332+00','866dabc4-6501-44d2-a0e5-65da9c45a46e',TRUE,'003','2024-03-28',0,FALSE,'Unit1','','2022-04-01 08:27:00+00','2022-04-02 08:27:00+00',FALSE,0,FALSE,65,64,0,0,0,0,65,0,FALSE,'','03625504-b150-46f3-b9e6-d572f5b8b776',1,0,FALSE,0,1,'4dbc7800-d343-4d6e-ab27-a7706b0cd126',FALSE,0),</v>
      </c>
    </row>
    <row r="28" spans="1:38" x14ac:dyDescent="0.25">
      <c r="A28" t="s">
        <v>555</v>
      </c>
      <c r="B28" t="s">
        <v>213</v>
      </c>
      <c r="C28" t="s">
        <v>0</v>
      </c>
      <c r="D28" t="s">
        <v>213</v>
      </c>
      <c r="E28" t="s">
        <v>0</v>
      </c>
      <c r="F28" t="b">
        <v>1</v>
      </c>
      <c r="G28" s="34" t="s">
        <v>599</v>
      </c>
      <c r="H28" s="33" t="s">
        <v>348</v>
      </c>
      <c r="I28">
        <v>0</v>
      </c>
      <c r="J28" t="b">
        <v>0</v>
      </c>
      <c r="K28" s="13" t="s">
        <v>215</v>
      </c>
      <c r="M28" t="s">
        <v>217</v>
      </c>
      <c r="N28" t="s">
        <v>218</v>
      </c>
      <c r="O28" t="b">
        <v>0</v>
      </c>
      <c r="P28">
        <v>0</v>
      </c>
      <c r="Q28" t="b">
        <v>0</v>
      </c>
      <c r="R28" s="12">
        <v>65</v>
      </c>
      <c r="S28" s="12">
        <v>64</v>
      </c>
      <c r="T28">
        <v>0</v>
      </c>
      <c r="U28">
        <v>0</v>
      </c>
      <c r="V28">
        <v>0</v>
      </c>
      <c r="W28">
        <v>0</v>
      </c>
      <c r="X28" s="12">
        <v>65</v>
      </c>
      <c r="Y28">
        <v>0</v>
      </c>
      <c r="Z28" t="b">
        <v>0</v>
      </c>
      <c r="AB28" s="14" t="s">
        <v>598</v>
      </c>
      <c r="AC28">
        <v>1</v>
      </c>
      <c r="AD28">
        <v>0</v>
      </c>
      <c r="AE28" t="b">
        <v>0</v>
      </c>
      <c r="AF28">
        <v>0</v>
      </c>
      <c r="AG28">
        <v>1</v>
      </c>
      <c r="AH28" s="15" t="s">
        <v>38</v>
      </c>
      <c r="AI28" t="b">
        <v>0</v>
      </c>
      <c r="AJ28">
        <v>0</v>
      </c>
      <c r="AL28" t="str">
        <f t="shared" si="0"/>
        <v>('112a33d6-c4d3-49f3-96cf-37913c6ee7f5','2025-05-31 08:27:43.267332+00','866dabc4-6501-44d2-a0e5-65da9c45a46e','2025-05-31 08:27:43.267332+00','866dabc4-6501-44d2-a0e5-65da9c45a46e',TRUE,'003','2024-07-02 16:24:00+00',0,FALSE,'Unit1','','2022-04-01 08:27:00+00','2022-04-02 08:27:00+00',FALSE,0,FALSE,65,64,0,0,0,0,65,0,FALSE,'','03625504-b150-46f3-b9e6-d572f5b8b776',1,0,FALSE,0,1,'4dbc7800-d343-4d6e-ab27-a7706b0cd126',FALSE,0),</v>
      </c>
    </row>
    <row r="29" spans="1:38" s="37" customFormat="1" x14ac:dyDescent="0.25">
      <c r="A29" s="37" t="s">
        <v>556</v>
      </c>
      <c r="B29" s="37" t="s">
        <v>213</v>
      </c>
      <c r="C29" s="37" t="s">
        <v>0</v>
      </c>
      <c r="D29" s="37" t="s">
        <v>213</v>
      </c>
      <c r="E29" s="37" t="s">
        <v>0</v>
      </c>
      <c r="F29" s="37" t="b">
        <v>1</v>
      </c>
      <c r="G29" s="34" t="s">
        <v>599</v>
      </c>
      <c r="H29" s="39" t="s">
        <v>350</v>
      </c>
      <c r="I29" s="37">
        <v>0</v>
      </c>
      <c r="J29" s="37" t="b">
        <v>0</v>
      </c>
      <c r="K29" s="37" t="s">
        <v>215</v>
      </c>
      <c r="M29" s="37" t="s">
        <v>217</v>
      </c>
      <c r="N29" s="37" t="s">
        <v>218</v>
      </c>
      <c r="O29" s="37" t="b">
        <v>0</v>
      </c>
      <c r="P29" s="37">
        <v>0</v>
      </c>
      <c r="Q29" s="37" t="b">
        <v>0</v>
      </c>
      <c r="R29" s="12">
        <v>65</v>
      </c>
      <c r="S29" s="12">
        <v>64</v>
      </c>
      <c r="T29">
        <v>0</v>
      </c>
      <c r="U29">
        <v>0</v>
      </c>
      <c r="V29">
        <v>0</v>
      </c>
      <c r="W29">
        <v>0</v>
      </c>
      <c r="X29" s="12">
        <v>65</v>
      </c>
      <c r="Y29" s="37">
        <v>0</v>
      </c>
      <c r="Z29" s="37" t="b">
        <v>0</v>
      </c>
      <c r="AB29" s="14" t="s">
        <v>598</v>
      </c>
      <c r="AC29" s="37">
        <v>1</v>
      </c>
      <c r="AD29" s="37">
        <v>0</v>
      </c>
      <c r="AE29" s="37" t="b">
        <v>0</v>
      </c>
      <c r="AF29" s="37">
        <v>0</v>
      </c>
      <c r="AG29" s="37">
        <v>1</v>
      </c>
      <c r="AH29" s="37" t="s">
        <v>38</v>
      </c>
      <c r="AI29" s="37" t="b">
        <v>0</v>
      </c>
      <c r="AJ29" s="37">
        <v>0</v>
      </c>
      <c r="AL29" s="37" t="str">
        <f t="shared" si="0"/>
        <v>('e2315d7d-19e2-4e2e-90f1-038dccc4cd9d','2025-05-31 08:27:43.267332+00','866dabc4-6501-44d2-a0e5-65da9c45a46e','2025-05-31 08:27:43.267332+00','866dabc4-6501-44d2-a0e5-65da9c45a46e',TRUE,'003','2024-07-04 16:24:00+00',0,FALSE,'Unit1','','2022-04-01 08:27:00+00','2022-04-02 08:27:00+00',FALSE,0,FALSE,65,64,0,0,0,0,65,0,FALSE,'','03625504-b150-46f3-b9e6-d572f5b8b776',1,0,FALSE,0,1,'4dbc7800-d343-4d6e-ab27-a7706b0cd126',FALSE,0),</v>
      </c>
    </row>
    <row r="30" spans="1:38" x14ac:dyDescent="0.25">
      <c r="A30" t="s">
        <v>557</v>
      </c>
      <c r="B30" t="s">
        <v>213</v>
      </c>
      <c r="C30" t="s">
        <v>0</v>
      </c>
      <c r="D30" t="s">
        <v>213</v>
      </c>
      <c r="E30" t="s">
        <v>0</v>
      </c>
      <c r="F30" t="b">
        <v>1</v>
      </c>
      <c r="G30" s="34" t="s">
        <v>599</v>
      </c>
      <c r="H30" s="39" t="s">
        <v>351</v>
      </c>
      <c r="I30">
        <v>0</v>
      </c>
      <c r="J30" t="b">
        <v>0</v>
      </c>
      <c r="K30" s="13" t="s">
        <v>215</v>
      </c>
      <c r="M30" t="s">
        <v>217</v>
      </c>
      <c r="N30" t="s">
        <v>218</v>
      </c>
      <c r="O30" t="b">
        <v>0</v>
      </c>
      <c r="P30">
        <v>0</v>
      </c>
      <c r="Q30" t="b">
        <v>0</v>
      </c>
      <c r="R30" s="12">
        <v>65</v>
      </c>
      <c r="S30" s="12">
        <v>64</v>
      </c>
      <c r="T30">
        <v>0</v>
      </c>
      <c r="U30">
        <v>0</v>
      </c>
      <c r="V30">
        <v>0</v>
      </c>
      <c r="W30">
        <v>0</v>
      </c>
      <c r="X30" s="12">
        <v>65</v>
      </c>
      <c r="Y30">
        <v>0</v>
      </c>
      <c r="Z30" t="b">
        <v>0</v>
      </c>
      <c r="AB30" s="14" t="s">
        <v>598</v>
      </c>
      <c r="AC30">
        <v>1</v>
      </c>
      <c r="AD30">
        <v>0</v>
      </c>
      <c r="AE30" t="b">
        <v>0</v>
      </c>
      <c r="AF30">
        <v>0</v>
      </c>
      <c r="AG30">
        <v>1</v>
      </c>
      <c r="AH30" s="15" t="s">
        <v>38</v>
      </c>
      <c r="AI30" t="b">
        <v>0</v>
      </c>
      <c r="AJ30">
        <v>0</v>
      </c>
      <c r="AL30" t="str">
        <f t="shared" si="0"/>
        <v>('556851a9-876e-4801-850a-8801e82fe688','2025-05-31 08:27:43.267332+00','866dabc4-6501-44d2-a0e5-65da9c45a46e','2025-05-31 08:27:43.267332+00','866dabc4-6501-44d2-a0e5-65da9c45a46e',TRUE,'003','2024-07-06 16:24:00+00',0,FALSE,'Unit1','','2022-04-01 08:27:00+00','2022-04-02 08:27:00+00',FALSE,0,FALSE,65,64,0,0,0,0,65,0,FALSE,'','03625504-b150-46f3-b9e6-d572f5b8b776',1,0,FALSE,0,1,'4dbc7800-d343-4d6e-ab27-a7706b0cd126',FALSE,0),</v>
      </c>
    </row>
    <row r="31" spans="1:38" x14ac:dyDescent="0.25">
      <c r="A31" t="s">
        <v>558</v>
      </c>
      <c r="B31" t="s">
        <v>213</v>
      </c>
      <c r="C31" t="s">
        <v>0</v>
      </c>
      <c r="D31" t="s">
        <v>213</v>
      </c>
      <c r="E31" t="s">
        <v>0</v>
      </c>
      <c r="F31" t="b">
        <v>1</v>
      </c>
      <c r="G31" s="34" t="s">
        <v>599</v>
      </c>
      <c r="H31" s="39" t="s">
        <v>352</v>
      </c>
      <c r="I31">
        <v>0</v>
      </c>
      <c r="J31" t="b">
        <v>0</v>
      </c>
      <c r="K31" s="13" t="s">
        <v>215</v>
      </c>
      <c r="M31" t="s">
        <v>217</v>
      </c>
      <c r="N31" t="s">
        <v>218</v>
      </c>
      <c r="O31" t="b">
        <v>0</v>
      </c>
      <c r="P31">
        <v>0</v>
      </c>
      <c r="Q31" t="b">
        <v>0</v>
      </c>
      <c r="R31" s="12">
        <v>65</v>
      </c>
      <c r="S31" s="12">
        <v>64</v>
      </c>
      <c r="T31">
        <v>0</v>
      </c>
      <c r="U31">
        <v>0</v>
      </c>
      <c r="V31">
        <v>0</v>
      </c>
      <c r="W31">
        <v>0</v>
      </c>
      <c r="X31" s="12">
        <v>65</v>
      </c>
      <c r="Y31">
        <v>0</v>
      </c>
      <c r="Z31" t="b">
        <v>0</v>
      </c>
      <c r="AB31" s="14" t="s">
        <v>598</v>
      </c>
      <c r="AC31">
        <v>1</v>
      </c>
      <c r="AD31">
        <v>0</v>
      </c>
      <c r="AE31" t="b">
        <v>0</v>
      </c>
      <c r="AF31">
        <v>0</v>
      </c>
      <c r="AG31">
        <v>1</v>
      </c>
      <c r="AH31" s="15" t="s">
        <v>38</v>
      </c>
      <c r="AI31" t="b">
        <v>0</v>
      </c>
      <c r="AJ31">
        <v>0</v>
      </c>
      <c r="AL31" t="str">
        <f t="shared" si="0"/>
        <v>('66ac42a9-68ba-4f29-a754-5d5ac454bb97','2025-05-31 08:27:43.267332+00','866dabc4-6501-44d2-a0e5-65da9c45a46e','2025-05-31 08:27:43.267332+00','866dabc4-6501-44d2-a0e5-65da9c45a46e',TRUE,'003','2024-07-09 16:24:00+00',0,FALSE,'Unit1','','2022-04-01 08:27:00+00','2022-04-02 08:27:00+00',FALSE,0,FALSE,65,64,0,0,0,0,65,0,FALSE,'','03625504-b150-46f3-b9e6-d572f5b8b776',1,0,FALSE,0,1,'4dbc7800-d343-4d6e-ab27-a7706b0cd126',FALSE,0),</v>
      </c>
    </row>
    <row r="32" spans="1:38" x14ac:dyDescent="0.25">
      <c r="A32" t="s">
        <v>559</v>
      </c>
      <c r="B32" t="s">
        <v>213</v>
      </c>
      <c r="C32" t="s">
        <v>0</v>
      </c>
      <c r="D32" t="s">
        <v>213</v>
      </c>
      <c r="E32" t="s">
        <v>0</v>
      </c>
      <c r="F32" t="b">
        <v>1</v>
      </c>
      <c r="G32" s="34" t="s">
        <v>599</v>
      </c>
      <c r="H32" s="39" t="s">
        <v>353</v>
      </c>
      <c r="I32">
        <v>0</v>
      </c>
      <c r="J32" t="b">
        <v>0</v>
      </c>
      <c r="K32" s="13" t="s">
        <v>215</v>
      </c>
      <c r="M32" t="s">
        <v>217</v>
      </c>
      <c r="N32" t="s">
        <v>218</v>
      </c>
      <c r="O32" t="b">
        <v>0</v>
      </c>
      <c r="P32">
        <v>0</v>
      </c>
      <c r="Q32" t="b">
        <v>0</v>
      </c>
      <c r="R32" s="12">
        <v>65</v>
      </c>
      <c r="S32" s="12">
        <v>64</v>
      </c>
      <c r="T32">
        <v>0</v>
      </c>
      <c r="U32">
        <v>0</v>
      </c>
      <c r="V32">
        <v>0</v>
      </c>
      <c r="W32">
        <v>0</v>
      </c>
      <c r="X32" s="12">
        <v>65</v>
      </c>
      <c r="Y32">
        <v>0</v>
      </c>
      <c r="Z32" t="b">
        <v>0</v>
      </c>
      <c r="AB32" s="14" t="s">
        <v>598</v>
      </c>
      <c r="AC32">
        <v>1</v>
      </c>
      <c r="AD32">
        <v>0</v>
      </c>
      <c r="AE32" t="b">
        <v>0</v>
      </c>
      <c r="AF32">
        <v>0</v>
      </c>
      <c r="AG32">
        <v>1</v>
      </c>
      <c r="AH32" s="15" t="s">
        <v>38</v>
      </c>
      <c r="AI32" t="b">
        <v>0</v>
      </c>
      <c r="AJ32">
        <v>0</v>
      </c>
      <c r="AL32" t="str">
        <f>_xlfn.CONCAT("('",A33,"','",B33,"','",C33,"','",D33,"','",E33,"',",F33,",'",G33,"','",H33,"',",I33,",",J33,",'",K33,"','",L33,"','",M33,"','",N33,"',",O33,",",P33,",",Q33,",",R33,",",S33,",",T33,",",U33,",",V33,",",W33,",",X33,",",Y33,",",Z33,",'",AA33,"','",AB33,"',",AC33,",",AD33,",",AE33,",",AF33,",",AG33,",'",AH33,"',",AI33,",",AJ33,"),")</f>
        <v>('ce49f22e-ef54-4783-9158-03f65025131e','2025-05-31 08:27:43.267332+00','866dabc4-6501-44d2-a0e5-65da9c45a46e','2025-05-31 08:27:43.267332+00','866dabc4-6501-44d2-a0e5-65da9c45a46e',TRUE,'003','2024-07-11 16:24:00+00',0,FALSE,'Unit1','','2022-04-01 08:27:00+00','2022-04-02 08:27:00+00',FALSE,0,FALSE,65,64,0,0,0,0,65,0,FALSE,'','03625504-b150-46f3-b9e6-d572f5b8b776',1,0,FALSE,0,1,'4dbc7800-d343-4d6e-ab27-a7706b0cd126',FALSE,0),</v>
      </c>
    </row>
    <row r="33" spans="1:38" x14ac:dyDescent="0.25">
      <c r="A33" t="s">
        <v>560</v>
      </c>
      <c r="B33" t="s">
        <v>213</v>
      </c>
      <c r="C33" t="s">
        <v>0</v>
      </c>
      <c r="D33" t="s">
        <v>213</v>
      </c>
      <c r="E33" t="s">
        <v>0</v>
      </c>
      <c r="F33" t="b">
        <v>1</v>
      </c>
      <c r="G33" s="34" t="s">
        <v>599</v>
      </c>
      <c r="H33" s="39" t="s">
        <v>354</v>
      </c>
      <c r="I33">
        <v>0</v>
      </c>
      <c r="J33" t="b">
        <v>0</v>
      </c>
      <c r="K33" s="13" t="s">
        <v>215</v>
      </c>
      <c r="M33" t="s">
        <v>217</v>
      </c>
      <c r="N33" t="s">
        <v>218</v>
      </c>
      <c r="O33" t="b">
        <v>0</v>
      </c>
      <c r="P33">
        <v>0</v>
      </c>
      <c r="Q33" t="b">
        <v>0</v>
      </c>
      <c r="R33" s="12">
        <v>65</v>
      </c>
      <c r="S33" s="12">
        <v>64</v>
      </c>
      <c r="T33">
        <v>0</v>
      </c>
      <c r="U33">
        <v>0</v>
      </c>
      <c r="V33">
        <v>0</v>
      </c>
      <c r="W33">
        <v>0</v>
      </c>
      <c r="X33" s="12">
        <v>65</v>
      </c>
      <c r="Y33">
        <v>0</v>
      </c>
      <c r="Z33" t="b">
        <v>0</v>
      </c>
      <c r="AB33" s="14" t="s">
        <v>598</v>
      </c>
      <c r="AC33">
        <v>1</v>
      </c>
      <c r="AD33">
        <v>0</v>
      </c>
      <c r="AE33" t="b">
        <v>0</v>
      </c>
      <c r="AF33">
        <v>0</v>
      </c>
      <c r="AG33">
        <v>1</v>
      </c>
      <c r="AH33" s="15" t="s">
        <v>38</v>
      </c>
      <c r="AI33" t="b">
        <v>0</v>
      </c>
      <c r="AJ33">
        <v>0</v>
      </c>
      <c r="AL33" t="str">
        <f t="shared" si="0"/>
        <v>('620e5bd4-40fc-4564-896b-83ca072d50d8','2025-05-31 08:27:43.267332+00','866dabc4-6501-44d2-a0e5-65da9c45a46e','2025-05-31 08:27:43.267332+00','866dabc4-6501-44d2-a0e5-65da9c45a46e',TRUE,'003','2024-07-13 16:24:00+00',0,FALSE,'Unit1','','2022-04-01 08:27:00+00','2022-04-02 08:27:00+00',FALSE,0,FALSE,65,64,0,0,0,0,65,0,FALSE,'','03625504-b150-46f3-b9e6-d572f5b8b776',1,0,FALSE,0,1,'4dbc7800-d343-4d6e-ab27-a7706b0cd126',FALSE,0),</v>
      </c>
    </row>
    <row r="34" spans="1:38" x14ac:dyDescent="0.25">
      <c r="A34" t="s">
        <v>561</v>
      </c>
      <c r="B34" t="s">
        <v>213</v>
      </c>
      <c r="C34" t="s">
        <v>0</v>
      </c>
      <c r="D34" t="s">
        <v>213</v>
      </c>
      <c r="E34" t="s">
        <v>0</v>
      </c>
      <c r="F34" t="b">
        <v>1</v>
      </c>
      <c r="G34" s="34" t="s">
        <v>599</v>
      </c>
      <c r="H34" s="39" t="s">
        <v>355</v>
      </c>
      <c r="I34" s="37">
        <v>0</v>
      </c>
      <c r="J34" s="37" t="b">
        <v>0</v>
      </c>
      <c r="K34" s="37" t="s">
        <v>215</v>
      </c>
      <c r="L34" s="37"/>
      <c r="M34" s="37" t="s">
        <v>217</v>
      </c>
      <c r="N34" s="37" t="s">
        <v>218</v>
      </c>
      <c r="O34" s="37" t="b">
        <v>0</v>
      </c>
      <c r="P34" s="37">
        <v>0</v>
      </c>
      <c r="Q34" s="37" t="b">
        <v>0</v>
      </c>
      <c r="R34" s="12">
        <v>65</v>
      </c>
      <c r="S34" s="12">
        <v>64</v>
      </c>
      <c r="T34">
        <v>0</v>
      </c>
      <c r="U34">
        <v>0</v>
      </c>
      <c r="V34">
        <v>0</v>
      </c>
      <c r="W34">
        <v>0</v>
      </c>
      <c r="X34" s="12">
        <v>65</v>
      </c>
      <c r="Y34" s="37">
        <v>0</v>
      </c>
      <c r="Z34" s="37" t="b">
        <v>0</v>
      </c>
      <c r="AA34" s="37"/>
      <c r="AB34" s="14" t="s">
        <v>598</v>
      </c>
      <c r="AC34" s="37">
        <v>1</v>
      </c>
      <c r="AD34" s="37">
        <v>0</v>
      </c>
      <c r="AE34" s="37" t="b">
        <v>0</v>
      </c>
      <c r="AF34" s="37">
        <v>0</v>
      </c>
      <c r="AG34" s="37">
        <v>1</v>
      </c>
      <c r="AH34" s="37" t="s">
        <v>38</v>
      </c>
      <c r="AI34" s="37" t="b">
        <v>0</v>
      </c>
      <c r="AJ34" s="37">
        <v>0</v>
      </c>
      <c r="AL34" t="str">
        <f t="shared" si="0"/>
        <v>('ec048ee3-c046-4bc0-ad5d-5f36ec8f91cd','2025-05-31 08:27:43.267332+00','866dabc4-6501-44d2-a0e5-65da9c45a46e','2025-05-31 08:27:43.267332+00','866dabc4-6501-44d2-a0e5-65da9c45a46e',TRUE,'003','2024-07-16 16:24:00+00',0,FALSE,'Unit1','','2022-04-01 08:27:00+00','2022-04-02 08:27:00+00',FALSE,0,FALSE,65,64,0,0,0,0,65,0,FALSE,'','03625504-b150-46f3-b9e6-d572f5b8b776',1,0,FALSE,0,1,'4dbc7800-d343-4d6e-ab27-a7706b0cd126',FALSE,0),</v>
      </c>
    </row>
    <row r="35" spans="1:38" x14ac:dyDescent="0.25">
      <c r="A35" t="s">
        <v>562</v>
      </c>
      <c r="B35" t="s">
        <v>213</v>
      </c>
      <c r="C35" t="s">
        <v>0</v>
      </c>
      <c r="D35" t="s">
        <v>213</v>
      </c>
      <c r="E35" t="s">
        <v>0</v>
      </c>
      <c r="F35" t="b">
        <v>1</v>
      </c>
      <c r="G35" s="34" t="s">
        <v>599</v>
      </c>
      <c r="H35" s="39" t="s">
        <v>356</v>
      </c>
      <c r="I35">
        <v>0</v>
      </c>
      <c r="J35" t="b">
        <v>0</v>
      </c>
      <c r="K35" s="13" t="s">
        <v>215</v>
      </c>
      <c r="M35" t="s">
        <v>217</v>
      </c>
      <c r="N35" t="s">
        <v>218</v>
      </c>
      <c r="O35" t="b">
        <v>0</v>
      </c>
      <c r="P35">
        <v>0</v>
      </c>
      <c r="Q35" t="b">
        <v>0</v>
      </c>
      <c r="R35" s="12">
        <v>65</v>
      </c>
      <c r="S35" s="12">
        <v>64</v>
      </c>
      <c r="T35">
        <v>0</v>
      </c>
      <c r="U35">
        <v>0</v>
      </c>
      <c r="V35">
        <v>0</v>
      </c>
      <c r="W35">
        <v>0</v>
      </c>
      <c r="X35" s="12">
        <v>65</v>
      </c>
      <c r="Y35">
        <v>0</v>
      </c>
      <c r="Z35" t="b">
        <v>0</v>
      </c>
      <c r="AB35" s="14" t="s">
        <v>598</v>
      </c>
      <c r="AC35">
        <v>1</v>
      </c>
      <c r="AD35">
        <v>0</v>
      </c>
      <c r="AE35" t="b">
        <v>0</v>
      </c>
      <c r="AF35">
        <v>0</v>
      </c>
      <c r="AG35">
        <v>1</v>
      </c>
      <c r="AH35" s="15" t="s">
        <v>38</v>
      </c>
      <c r="AI35" t="b">
        <v>0</v>
      </c>
      <c r="AJ35">
        <v>0</v>
      </c>
      <c r="AL35" t="str">
        <f t="shared" si="0"/>
        <v>('4f55c25e-2c12-448b-b1e1-2f409edaaadf','2025-05-31 08:27:43.267332+00','866dabc4-6501-44d2-a0e5-65da9c45a46e','2025-05-31 08:27:43.267332+00','866dabc4-6501-44d2-a0e5-65da9c45a46e',TRUE,'003','2024-07-18 16:24:00+00',0,FALSE,'Unit1','','2022-04-01 08:27:00+00','2022-04-02 08:27:00+00',FALSE,0,FALSE,65,64,0,0,0,0,65,0,FALSE,'','03625504-b150-46f3-b9e6-d572f5b8b776',1,0,FALSE,0,1,'4dbc7800-d343-4d6e-ab27-a7706b0cd126',FALSE,0),</v>
      </c>
    </row>
    <row r="36" spans="1:38" x14ac:dyDescent="0.25">
      <c r="A36" t="s">
        <v>563</v>
      </c>
      <c r="B36" t="s">
        <v>213</v>
      </c>
      <c r="C36" t="s">
        <v>0</v>
      </c>
      <c r="D36" t="s">
        <v>213</v>
      </c>
      <c r="E36" t="s">
        <v>0</v>
      </c>
      <c r="F36" t="b">
        <v>1</v>
      </c>
      <c r="G36" s="34" t="s">
        <v>599</v>
      </c>
      <c r="H36" s="39" t="s">
        <v>357</v>
      </c>
      <c r="I36">
        <v>0</v>
      </c>
      <c r="J36" t="b">
        <v>0</v>
      </c>
      <c r="K36" s="13" t="s">
        <v>215</v>
      </c>
      <c r="M36" t="s">
        <v>217</v>
      </c>
      <c r="N36" t="s">
        <v>218</v>
      </c>
      <c r="O36" t="b">
        <v>0</v>
      </c>
      <c r="P36">
        <v>0</v>
      </c>
      <c r="Q36" t="b">
        <v>0</v>
      </c>
      <c r="R36" s="12">
        <v>65</v>
      </c>
      <c r="S36" s="12">
        <v>64</v>
      </c>
      <c r="T36">
        <v>0</v>
      </c>
      <c r="U36">
        <v>0</v>
      </c>
      <c r="V36">
        <v>0</v>
      </c>
      <c r="W36">
        <v>0</v>
      </c>
      <c r="X36" s="12">
        <v>65</v>
      </c>
      <c r="Y36">
        <v>0</v>
      </c>
      <c r="Z36" t="b">
        <v>0</v>
      </c>
      <c r="AB36" s="14" t="s">
        <v>598</v>
      </c>
      <c r="AC36">
        <v>1</v>
      </c>
      <c r="AD36">
        <v>0</v>
      </c>
      <c r="AE36" t="b">
        <v>0</v>
      </c>
      <c r="AF36">
        <v>0</v>
      </c>
      <c r="AG36">
        <v>1</v>
      </c>
      <c r="AH36" s="15" t="s">
        <v>38</v>
      </c>
      <c r="AI36" t="b">
        <v>0</v>
      </c>
      <c r="AJ36">
        <v>0</v>
      </c>
      <c r="AL36" t="str">
        <f t="shared" si="0"/>
        <v>('d79ab817-bd01-475d-87c2-746b0dc71292','2025-05-31 08:27:43.267332+00','866dabc4-6501-44d2-a0e5-65da9c45a46e','2025-05-31 08:27:43.267332+00','866dabc4-6501-44d2-a0e5-65da9c45a46e',TRUE,'003','2024-07-20 16:24:00+00',0,FALSE,'Unit1','','2022-04-01 08:27:00+00','2022-04-02 08:27:00+00',FALSE,0,FALSE,65,64,0,0,0,0,65,0,FALSE,'','03625504-b150-46f3-b9e6-d572f5b8b776',1,0,FALSE,0,1,'4dbc7800-d343-4d6e-ab27-a7706b0cd126',FALSE,0),</v>
      </c>
    </row>
    <row r="37" spans="1:38" x14ac:dyDescent="0.25">
      <c r="A37" t="s">
        <v>564</v>
      </c>
      <c r="B37" t="s">
        <v>213</v>
      </c>
      <c r="C37" t="s">
        <v>0</v>
      </c>
      <c r="D37" t="s">
        <v>213</v>
      </c>
      <c r="E37" t="s">
        <v>0</v>
      </c>
      <c r="F37" t="b">
        <v>1</v>
      </c>
      <c r="G37" s="34" t="s">
        <v>599</v>
      </c>
      <c r="H37" s="39" t="s">
        <v>358</v>
      </c>
      <c r="I37">
        <v>0</v>
      </c>
      <c r="J37" t="b">
        <v>0</v>
      </c>
      <c r="K37" s="13" t="s">
        <v>215</v>
      </c>
      <c r="M37" t="s">
        <v>217</v>
      </c>
      <c r="N37" t="s">
        <v>218</v>
      </c>
      <c r="O37" t="b">
        <v>0</v>
      </c>
      <c r="P37">
        <v>0</v>
      </c>
      <c r="Q37" t="b">
        <v>0</v>
      </c>
      <c r="R37" s="12">
        <v>65</v>
      </c>
      <c r="S37" s="12">
        <v>64</v>
      </c>
      <c r="T37">
        <v>0</v>
      </c>
      <c r="U37">
        <v>0</v>
      </c>
      <c r="V37">
        <v>0</v>
      </c>
      <c r="W37">
        <v>0</v>
      </c>
      <c r="X37" s="12">
        <v>65</v>
      </c>
      <c r="Y37">
        <v>0</v>
      </c>
      <c r="Z37" t="b">
        <v>0</v>
      </c>
      <c r="AB37" s="14" t="s">
        <v>598</v>
      </c>
      <c r="AC37">
        <v>1</v>
      </c>
      <c r="AD37">
        <v>0</v>
      </c>
      <c r="AE37" t="b">
        <v>0</v>
      </c>
      <c r="AF37">
        <v>0</v>
      </c>
      <c r="AG37">
        <v>1</v>
      </c>
      <c r="AH37" s="15" t="s">
        <v>38</v>
      </c>
      <c r="AI37" t="b">
        <v>0</v>
      </c>
      <c r="AJ37">
        <v>0</v>
      </c>
      <c r="AL37" t="str">
        <f t="shared" si="0"/>
        <v>('d6d634d8-c695-4bc8-9201-7d23b7facebd','2025-05-31 08:27:43.267332+00','866dabc4-6501-44d2-a0e5-65da9c45a46e','2025-05-31 08:27:43.267332+00','866dabc4-6501-44d2-a0e5-65da9c45a46e',TRUE,'003','2024-07-23 16:24:00+00',0,FALSE,'Unit1','','2022-04-01 08:27:00+00','2022-04-02 08:27:00+00',FALSE,0,FALSE,65,64,0,0,0,0,65,0,FALSE,'','03625504-b150-46f3-b9e6-d572f5b8b776',1,0,FALSE,0,1,'4dbc7800-d343-4d6e-ab27-a7706b0cd126',FALSE,0),</v>
      </c>
    </row>
    <row r="38" spans="1:38" x14ac:dyDescent="0.25">
      <c r="A38" s="25" t="s">
        <v>565</v>
      </c>
      <c r="B38" t="s">
        <v>213</v>
      </c>
      <c r="C38" t="s">
        <v>0</v>
      </c>
      <c r="D38" t="s">
        <v>213</v>
      </c>
      <c r="E38" t="s">
        <v>0</v>
      </c>
      <c r="F38" t="b">
        <v>1</v>
      </c>
      <c r="G38" s="34" t="s">
        <v>599</v>
      </c>
      <c r="H38" s="39" t="s">
        <v>359</v>
      </c>
      <c r="I38">
        <v>0</v>
      </c>
      <c r="J38" t="b">
        <v>0</v>
      </c>
      <c r="K38" s="13" t="s">
        <v>215</v>
      </c>
      <c r="M38" t="s">
        <v>217</v>
      </c>
      <c r="N38" t="s">
        <v>218</v>
      </c>
      <c r="O38" t="b">
        <v>0</v>
      </c>
      <c r="P38">
        <v>0</v>
      </c>
      <c r="Q38" t="b">
        <v>0</v>
      </c>
      <c r="R38" s="12">
        <v>65</v>
      </c>
      <c r="S38" s="12">
        <v>64</v>
      </c>
      <c r="T38">
        <v>0</v>
      </c>
      <c r="U38">
        <v>0</v>
      </c>
      <c r="V38">
        <v>0</v>
      </c>
      <c r="W38">
        <v>0</v>
      </c>
      <c r="X38" s="12">
        <v>65</v>
      </c>
      <c r="Y38">
        <v>0</v>
      </c>
      <c r="Z38" t="b">
        <v>0</v>
      </c>
      <c r="AB38" s="14" t="s">
        <v>598</v>
      </c>
      <c r="AC38">
        <v>1</v>
      </c>
      <c r="AD38">
        <v>0</v>
      </c>
      <c r="AE38" t="b">
        <v>0</v>
      </c>
      <c r="AF38">
        <v>0</v>
      </c>
      <c r="AG38">
        <v>1</v>
      </c>
      <c r="AH38" s="15" t="s">
        <v>38</v>
      </c>
      <c r="AI38" t="b">
        <v>0</v>
      </c>
      <c r="AJ38">
        <v>0</v>
      </c>
      <c r="AL38" t="str">
        <f t="shared" si="0"/>
        <v>('0e57d72a-cbfb-4edd-b763-051941206e67','2025-05-31 08:27:43.267332+00','866dabc4-6501-44d2-a0e5-65da9c45a46e','2025-05-31 08:27:43.267332+00','866dabc4-6501-44d2-a0e5-65da9c45a46e',TRUE,'003','2024-07-25 16:24:00+00',0,FALSE,'Unit1','','2022-04-01 08:27:00+00','2022-04-02 08:27:00+00',FALSE,0,FALSE,65,64,0,0,0,0,65,0,FALSE,'','03625504-b150-46f3-b9e6-d572f5b8b776',1,0,FALSE,0,1,'4dbc7800-d343-4d6e-ab27-a7706b0cd126',FALSE,0),</v>
      </c>
    </row>
    <row r="39" spans="1:38" x14ac:dyDescent="0.25">
      <c r="A39" t="s">
        <v>566</v>
      </c>
      <c r="B39" t="s">
        <v>213</v>
      </c>
      <c r="C39" t="s">
        <v>0</v>
      </c>
      <c r="D39" t="s">
        <v>213</v>
      </c>
      <c r="E39" t="s">
        <v>0</v>
      </c>
      <c r="F39" t="b">
        <v>1</v>
      </c>
      <c r="G39" s="34" t="s">
        <v>599</v>
      </c>
      <c r="H39" s="39" t="s">
        <v>360</v>
      </c>
      <c r="I39" s="37">
        <v>0</v>
      </c>
      <c r="J39" s="37" t="b">
        <v>0</v>
      </c>
      <c r="K39" s="37" t="s">
        <v>215</v>
      </c>
      <c r="L39" s="37"/>
      <c r="M39" s="37" t="s">
        <v>217</v>
      </c>
      <c r="N39" s="37" t="s">
        <v>218</v>
      </c>
      <c r="O39" s="37" t="b">
        <v>0</v>
      </c>
      <c r="P39" s="37">
        <v>0</v>
      </c>
      <c r="Q39" s="37" t="b">
        <v>0</v>
      </c>
      <c r="R39" s="12">
        <v>65</v>
      </c>
      <c r="S39" s="12">
        <v>64</v>
      </c>
      <c r="T39">
        <v>0</v>
      </c>
      <c r="U39">
        <v>0</v>
      </c>
      <c r="V39">
        <v>0</v>
      </c>
      <c r="W39">
        <v>0</v>
      </c>
      <c r="X39" s="12">
        <v>65</v>
      </c>
      <c r="Y39" s="37">
        <v>0</v>
      </c>
      <c r="Z39" s="37" t="b">
        <v>0</v>
      </c>
      <c r="AA39" s="37"/>
      <c r="AB39" s="14" t="s">
        <v>598</v>
      </c>
      <c r="AC39" s="37">
        <v>1</v>
      </c>
      <c r="AD39" s="37">
        <v>0</v>
      </c>
      <c r="AE39" s="37" t="b">
        <v>0</v>
      </c>
      <c r="AF39" s="37">
        <v>0</v>
      </c>
      <c r="AG39" s="37">
        <v>1</v>
      </c>
      <c r="AH39" s="37" t="s">
        <v>38</v>
      </c>
      <c r="AI39" s="37" t="b">
        <v>0</v>
      </c>
      <c r="AJ39" s="37">
        <v>0</v>
      </c>
      <c r="AL39" t="str">
        <f t="shared" si="0"/>
        <v>('45c539a3-808a-4622-9bb4-65bf9ed485c1','2025-05-31 08:27:43.267332+00','866dabc4-6501-44d2-a0e5-65da9c45a46e','2025-05-31 08:27:43.267332+00','866dabc4-6501-44d2-a0e5-65da9c45a46e',TRUE,'003','2024-07-27 16:24:00+00',0,FALSE,'Unit1','','2022-04-01 08:27:00+00','2022-04-02 08:27:00+00',FALSE,0,FALSE,65,64,0,0,0,0,65,0,FALSE,'','03625504-b150-46f3-b9e6-d572f5b8b776',1,0,FALSE,0,1,'4dbc7800-d343-4d6e-ab27-a7706b0cd126',FALSE,0),</v>
      </c>
    </row>
    <row r="40" spans="1:38" x14ac:dyDescent="0.25">
      <c r="A40" t="s">
        <v>567</v>
      </c>
      <c r="B40" t="s">
        <v>213</v>
      </c>
      <c r="C40" t="s">
        <v>0</v>
      </c>
      <c r="D40" t="s">
        <v>213</v>
      </c>
      <c r="E40" t="s">
        <v>0</v>
      </c>
      <c r="F40" t="b">
        <v>1</v>
      </c>
      <c r="G40" s="34" t="s">
        <v>599</v>
      </c>
      <c r="H40" s="39" t="s">
        <v>361</v>
      </c>
      <c r="I40">
        <v>0</v>
      </c>
      <c r="J40" t="b">
        <v>0</v>
      </c>
      <c r="K40" s="13" t="s">
        <v>215</v>
      </c>
      <c r="M40" t="s">
        <v>217</v>
      </c>
      <c r="N40" t="s">
        <v>218</v>
      </c>
      <c r="O40" t="b">
        <v>0</v>
      </c>
      <c r="P40">
        <v>0</v>
      </c>
      <c r="Q40" t="b">
        <v>0</v>
      </c>
      <c r="R40" s="12">
        <v>65</v>
      </c>
      <c r="S40" s="12">
        <v>64</v>
      </c>
      <c r="T40">
        <v>0</v>
      </c>
      <c r="U40">
        <v>0</v>
      </c>
      <c r="V40">
        <v>0</v>
      </c>
      <c r="W40">
        <v>0</v>
      </c>
      <c r="X40" s="12">
        <v>65</v>
      </c>
      <c r="Y40">
        <v>0</v>
      </c>
      <c r="Z40" t="b">
        <v>0</v>
      </c>
      <c r="AB40" s="14" t="s">
        <v>598</v>
      </c>
      <c r="AC40">
        <v>1</v>
      </c>
      <c r="AD40">
        <v>0</v>
      </c>
      <c r="AE40" t="b">
        <v>0</v>
      </c>
      <c r="AF40">
        <v>0</v>
      </c>
      <c r="AG40">
        <v>1</v>
      </c>
      <c r="AH40" s="15" t="s">
        <v>38</v>
      </c>
      <c r="AI40" t="b">
        <v>0</v>
      </c>
      <c r="AJ40">
        <v>0</v>
      </c>
      <c r="AL40" t="str">
        <f t="shared" si="0"/>
        <v>('d89f1350-2777-48b0-8aa0-a568033c2d84','2025-05-31 08:27:43.267332+00','866dabc4-6501-44d2-a0e5-65da9c45a46e','2025-05-31 08:27:43.267332+00','866dabc4-6501-44d2-a0e5-65da9c45a46e',TRUE,'003','2024-08-30 16:24:00+00',0,FALSE,'Unit1','','2022-04-01 08:27:00+00','2022-04-02 08:27:00+00',FALSE,0,FALSE,65,64,0,0,0,0,65,0,FALSE,'','03625504-b150-46f3-b9e6-d572f5b8b776',1,0,FALSE,0,1,'4dbc7800-d343-4d6e-ab27-a7706b0cd126',FALSE,0),</v>
      </c>
    </row>
    <row r="41" spans="1:38" x14ac:dyDescent="0.25">
      <c r="A41" s="25" t="s">
        <v>568</v>
      </c>
      <c r="B41" t="s">
        <v>213</v>
      </c>
      <c r="C41" t="s">
        <v>0</v>
      </c>
      <c r="D41" t="s">
        <v>213</v>
      </c>
      <c r="E41" t="s">
        <v>0</v>
      </c>
      <c r="F41" t="b">
        <v>1</v>
      </c>
      <c r="G41" s="34" t="s">
        <v>599</v>
      </c>
      <c r="H41" s="39" t="s">
        <v>362</v>
      </c>
      <c r="I41">
        <v>0</v>
      </c>
      <c r="J41" t="b">
        <v>0</v>
      </c>
      <c r="K41" s="13" t="s">
        <v>215</v>
      </c>
      <c r="M41" t="s">
        <v>217</v>
      </c>
      <c r="N41" t="s">
        <v>218</v>
      </c>
      <c r="O41" t="b">
        <v>0</v>
      </c>
      <c r="P41">
        <v>0</v>
      </c>
      <c r="Q41" t="b">
        <v>0</v>
      </c>
      <c r="R41" s="12">
        <v>65</v>
      </c>
      <c r="S41" s="12">
        <v>64</v>
      </c>
      <c r="T41">
        <v>0</v>
      </c>
      <c r="U41">
        <v>0</v>
      </c>
      <c r="V41">
        <v>0</v>
      </c>
      <c r="W41">
        <v>0</v>
      </c>
      <c r="X41" s="12">
        <v>65</v>
      </c>
      <c r="Y41">
        <v>0</v>
      </c>
      <c r="Z41" t="b">
        <v>0</v>
      </c>
      <c r="AB41" s="14" t="s">
        <v>598</v>
      </c>
      <c r="AC41">
        <v>1</v>
      </c>
      <c r="AD41">
        <v>0</v>
      </c>
      <c r="AE41" t="b">
        <v>0</v>
      </c>
      <c r="AF41">
        <v>0</v>
      </c>
      <c r="AG41">
        <v>1</v>
      </c>
      <c r="AH41" s="15" t="s">
        <v>38</v>
      </c>
      <c r="AI41" t="b">
        <v>0</v>
      </c>
      <c r="AJ41">
        <v>0</v>
      </c>
      <c r="AL41" t="str">
        <f t="shared" si="0"/>
        <v>('a0e474ab-9bad-4676-93ea-2ba40831a321','2025-05-31 08:27:43.267332+00','866dabc4-6501-44d2-a0e5-65da9c45a46e','2025-05-31 08:27:43.267332+00','866dabc4-6501-44d2-a0e5-65da9c45a46e',TRUE,'003','2024-08-01 16:24:00+00',0,FALSE,'Unit1','','2022-04-01 08:27:00+00','2022-04-02 08:27:00+00',FALSE,0,FALSE,65,64,0,0,0,0,65,0,FALSE,'','03625504-b150-46f3-b9e6-d572f5b8b776',1,0,FALSE,0,1,'4dbc7800-d343-4d6e-ab27-a7706b0cd126',FALSE,0),</v>
      </c>
    </row>
    <row r="42" spans="1:38" x14ac:dyDescent="0.25">
      <c r="A42" s="25" t="s">
        <v>569</v>
      </c>
      <c r="B42" t="s">
        <v>213</v>
      </c>
      <c r="C42" t="s">
        <v>0</v>
      </c>
      <c r="D42" t="s">
        <v>213</v>
      </c>
      <c r="E42" t="s">
        <v>0</v>
      </c>
      <c r="F42" t="b">
        <v>1</v>
      </c>
      <c r="G42" s="34" t="s">
        <v>599</v>
      </c>
      <c r="H42" s="39" t="s">
        <v>363</v>
      </c>
      <c r="I42">
        <v>0</v>
      </c>
      <c r="J42" t="b">
        <v>0</v>
      </c>
      <c r="K42" s="13" t="s">
        <v>215</v>
      </c>
      <c r="M42" t="s">
        <v>217</v>
      </c>
      <c r="N42" t="s">
        <v>218</v>
      </c>
      <c r="O42" t="b">
        <v>0</v>
      </c>
      <c r="P42">
        <v>0</v>
      </c>
      <c r="Q42" t="b">
        <v>0</v>
      </c>
      <c r="R42" s="12">
        <v>65</v>
      </c>
      <c r="S42" s="12">
        <v>64</v>
      </c>
      <c r="T42">
        <v>0</v>
      </c>
      <c r="U42">
        <v>0</v>
      </c>
      <c r="V42">
        <v>0</v>
      </c>
      <c r="W42">
        <v>0</v>
      </c>
      <c r="X42" s="12">
        <v>65</v>
      </c>
      <c r="Y42">
        <v>0</v>
      </c>
      <c r="Z42" t="b">
        <v>0</v>
      </c>
      <c r="AB42" s="14" t="s">
        <v>598</v>
      </c>
      <c r="AC42">
        <v>1</v>
      </c>
      <c r="AD42">
        <v>0</v>
      </c>
      <c r="AE42" t="b">
        <v>0</v>
      </c>
      <c r="AF42">
        <v>0</v>
      </c>
      <c r="AG42">
        <v>1</v>
      </c>
      <c r="AH42" s="15" t="s">
        <v>38</v>
      </c>
      <c r="AI42" t="b">
        <v>0</v>
      </c>
      <c r="AJ42">
        <v>0</v>
      </c>
      <c r="AL42" t="str">
        <f t="shared" si="0"/>
        <v>('fafde93a-207f-4c7f-a39a-44bd10fe2b9f','2025-05-31 08:27:43.267332+00','866dabc4-6501-44d2-a0e5-65da9c45a46e','2025-05-31 08:27:43.267332+00','866dabc4-6501-44d2-a0e5-65da9c45a46e',TRUE,'003','2024-08-03 16:24:00+00',0,FALSE,'Unit1','','2022-04-01 08:27:00+00','2022-04-02 08:27:00+00',FALSE,0,FALSE,65,64,0,0,0,0,65,0,FALSE,'','03625504-b150-46f3-b9e6-d572f5b8b776',1,0,FALSE,0,1,'4dbc7800-d343-4d6e-ab27-a7706b0cd126',FALSE,0),</v>
      </c>
    </row>
    <row r="43" spans="1:38" x14ac:dyDescent="0.25">
      <c r="A43" t="s">
        <v>570</v>
      </c>
      <c r="B43" t="s">
        <v>213</v>
      </c>
      <c r="C43" t="s">
        <v>0</v>
      </c>
      <c r="D43" t="s">
        <v>213</v>
      </c>
      <c r="E43" t="s">
        <v>0</v>
      </c>
      <c r="F43" t="b">
        <v>1</v>
      </c>
      <c r="G43" s="34" t="s">
        <v>599</v>
      </c>
      <c r="H43" s="39" t="s">
        <v>364</v>
      </c>
      <c r="I43">
        <v>0</v>
      </c>
      <c r="J43" t="b">
        <v>0</v>
      </c>
      <c r="K43" s="13" t="s">
        <v>215</v>
      </c>
      <c r="M43" t="s">
        <v>217</v>
      </c>
      <c r="N43" t="s">
        <v>218</v>
      </c>
      <c r="O43" t="b">
        <v>0</v>
      </c>
      <c r="P43">
        <v>0</v>
      </c>
      <c r="Q43" t="b">
        <v>0</v>
      </c>
      <c r="R43" s="12">
        <v>65</v>
      </c>
      <c r="S43" s="12">
        <v>64</v>
      </c>
      <c r="T43">
        <v>0</v>
      </c>
      <c r="U43">
        <v>0</v>
      </c>
      <c r="V43">
        <v>0</v>
      </c>
      <c r="W43">
        <v>0</v>
      </c>
      <c r="X43" s="12">
        <v>65</v>
      </c>
      <c r="Y43">
        <v>0</v>
      </c>
      <c r="Z43" t="b">
        <v>0</v>
      </c>
      <c r="AB43" s="14" t="s">
        <v>598</v>
      </c>
      <c r="AC43">
        <v>1</v>
      </c>
      <c r="AD43">
        <v>0</v>
      </c>
      <c r="AE43" t="b">
        <v>0</v>
      </c>
      <c r="AF43">
        <v>0</v>
      </c>
      <c r="AG43">
        <v>1</v>
      </c>
      <c r="AH43" s="15" t="s">
        <v>38</v>
      </c>
      <c r="AI43" t="b">
        <v>0</v>
      </c>
      <c r="AJ43">
        <v>0</v>
      </c>
      <c r="AL43" t="str">
        <f t="shared" si="0"/>
        <v>('e1665467-ef4f-4efb-94e3-475b8118cd02','2025-05-31 08:27:43.267332+00','866dabc4-6501-44d2-a0e5-65da9c45a46e','2025-05-31 08:27:43.267332+00','866dabc4-6501-44d2-a0e5-65da9c45a46e',TRUE,'003','2024-08-06 16:24:00+01',0,FALSE,'Unit1','','2022-04-01 08:27:00+00','2022-04-02 08:27:00+00',FALSE,0,FALSE,65,64,0,0,0,0,65,0,FALSE,'','03625504-b150-46f3-b9e6-d572f5b8b776',1,0,FALSE,0,1,'4dbc7800-d343-4d6e-ab27-a7706b0cd126',FALSE,0),</v>
      </c>
    </row>
    <row r="44" spans="1:38" x14ac:dyDescent="0.25">
      <c r="A44" t="s">
        <v>571</v>
      </c>
      <c r="B44" t="s">
        <v>213</v>
      </c>
      <c r="C44" t="s">
        <v>0</v>
      </c>
      <c r="D44" t="s">
        <v>213</v>
      </c>
      <c r="E44" t="s">
        <v>0</v>
      </c>
      <c r="F44" t="b">
        <v>1</v>
      </c>
      <c r="G44" s="34" t="s">
        <v>599</v>
      </c>
      <c r="H44" s="39" t="s">
        <v>365</v>
      </c>
      <c r="I44" s="37">
        <v>0</v>
      </c>
      <c r="J44" s="37" t="b">
        <v>0</v>
      </c>
      <c r="K44" s="37" t="s">
        <v>215</v>
      </c>
      <c r="L44" s="37"/>
      <c r="M44" s="37" t="s">
        <v>217</v>
      </c>
      <c r="N44" s="37" t="s">
        <v>218</v>
      </c>
      <c r="O44" s="37" t="b">
        <v>0</v>
      </c>
      <c r="P44" s="37">
        <v>0</v>
      </c>
      <c r="Q44" s="37" t="b">
        <v>0</v>
      </c>
      <c r="R44" s="12">
        <v>65</v>
      </c>
      <c r="S44" s="12">
        <v>64</v>
      </c>
      <c r="T44">
        <v>0</v>
      </c>
      <c r="U44">
        <v>0</v>
      </c>
      <c r="V44">
        <v>0</v>
      </c>
      <c r="W44">
        <v>0</v>
      </c>
      <c r="X44" s="12">
        <v>65</v>
      </c>
      <c r="Y44" s="37">
        <v>0</v>
      </c>
      <c r="Z44" s="37" t="b">
        <v>0</v>
      </c>
      <c r="AA44" s="37"/>
      <c r="AB44" s="14" t="s">
        <v>598</v>
      </c>
      <c r="AC44" s="37">
        <v>1</v>
      </c>
      <c r="AD44" s="37">
        <v>0</v>
      </c>
      <c r="AE44" s="37" t="b">
        <v>0</v>
      </c>
      <c r="AF44" s="37">
        <v>0</v>
      </c>
      <c r="AG44" s="37">
        <v>1</v>
      </c>
      <c r="AH44" s="37" t="s">
        <v>38</v>
      </c>
      <c r="AI44" s="37" t="b">
        <v>0</v>
      </c>
      <c r="AJ44" s="37">
        <v>0</v>
      </c>
      <c r="AL44" t="str">
        <f t="shared" si="0"/>
        <v>('0a29f610-889a-4a5a-96b8-ddd1332d723c','2025-05-31 08:27:43.267332+00','866dabc4-6501-44d2-a0e5-65da9c45a46e','2025-05-31 08:27:43.267332+00','866dabc4-6501-44d2-a0e5-65da9c45a46e',TRUE,'003','2024-08-08 16:24:00+01',0,FALSE,'Unit1','','2022-04-01 08:27:00+00','2022-04-02 08:27:00+00',FALSE,0,FALSE,65,64,0,0,0,0,65,0,FALSE,'','03625504-b150-46f3-b9e6-d572f5b8b776',1,0,FALSE,0,1,'4dbc7800-d343-4d6e-ab27-a7706b0cd126',FALSE,0),</v>
      </c>
    </row>
    <row r="45" spans="1:38" x14ac:dyDescent="0.25">
      <c r="A45" t="s">
        <v>572</v>
      </c>
      <c r="B45" t="s">
        <v>213</v>
      </c>
      <c r="C45" t="s">
        <v>0</v>
      </c>
      <c r="D45" t="s">
        <v>213</v>
      </c>
      <c r="E45" t="s">
        <v>0</v>
      </c>
      <c r="F45" t="b">
        <v>1</v>
      </c>
      <c r="G45" s="34" t="s">
        <v>599</v>
      </c>
      <c r="H45" s="39" t="s">
        <v>366</v>
      </c>
      <c r="I45">
        <v>0</v>
      </c>
      <c r="J45" t="b">
        <v>0</v>
      </c>
      <c r="K45" s="13" t="s">
        <v>215</v>
      </c>
      <c r="M45" t="s">
        <v>217</v>
      </c>
      <c r="N45" t="s">
        <v>218</v>
      </c>
      <c r="O45" t="b">
        <v>0</v>
      </c>
      <c r="P45">
        <v>0</v>
      </c>
      <c r="Q45" t="b">
        <v>0</v>
      </c>
      <c r="R45" s="12">
        <v>65</v>
      </c>
      <c r="S45" s="12">
        <v>64</v>
      </c>
      <c r="T45">
        <v>0</v>
      </c>
      <c r="U45">
        <v>0</v>
      </c>
      <c r="V45">
        <v>0</v>
      </c>
      <c r="W45">
        <v>0</v>
      </c>
      <c r="X45" s="12">
        <v>65</v>
      </c>
      <c r="Y45">
        <v>0</v>
      </c>
      <c r="Z45" t="b">
        <v>0</v>
      </c>
      <c r="AB45" s="14" t="s">
        <v>598</v>
      </c>
      <c r="AC45">
        <v>1</v>
      </c>
      <c r="AD45">
        <v>0</v>
      </c>
      <c r="AE45" t="b">
        <v>0</v>
      </c>
      <c r="AF45">
        <v>0</v>
      </c>
      <c r="AG45">
        <v>1</v>
      </c>
      <c r="AH45" s="15" t="s">
        <v>38</v>
      </c>
      <c r="AI45" t="b">
        <v>0</v>
      </c>
      <c r="AJ45">
        <v>0</v>
      </c>
      <c r="AL45" t="str">
        <f t="shared" si="0"/>
        <v>('0a126419-9038-473a-940a-b2cccbbe67cb','2025-05-31 08:27:43.267332+00','866dabc4-6501-44d2-a0e5-65da9c45a46e','2025-05-31 08:27:43.267332+00','866dabc4-6501-44d2-a0e5-65da9c45a46e',TRUE,'003','2024-08-10 16:24:00+01',0,FALSE,'Unit1','','2022-04-01 08:27:00+00','2022-04-02 08:27:00+00',FALSE,0,FALSE,65,64,0,0,0,0,65,0,FALSE,'','03625504-b150-46f3-b9e6-d572f5b8b776',1,0,FALSE,0,1,'4dbc7800-d343-4d6e-ab27-a7706b0cd126',FALSE,0),</v>
      </c>
    </row>
    <row r="46" spans="1:38" x14ac:dyDescent="0.25">
      <c r="A46" t="s">
        <v>573</v>
      </c>
      <c r="B46" t="s">
        <v>213</v>
      </c>
      <c r="C46" t="s">
        <v>0</v>
      </c>
      <c r="D46" t="s">
        <v>213</v>
      </c>
      <c r="E46" t="s">
        <v>0</v>
      </c>
      <c r="F46" t="b">
        <v>1</v>
      </c>
      <c r="G46" s="34" t="s">
        <v>599</v>
      </c>
      <c r="H46" s="39" t="s">
        <v>367</v>
      </c>
      <c r="I46">
        <v>0</v>
      </c>
      <c r="J46" t="b">
        <v>0</v>
      </c>
      <c r="K46" s="13" t="s">
        <v>215</v>
      </c>
      <c r="M46" t="s">
        <v>217</v>
      </c>
      <c r="N46" t="s">
        <v>218</v>
      </c>
      <c r="O46" t="b">
        <v>0</v>
      </c>
      <c r="P46">
        <v>0</v>
      </c>
      <c r="Q46" t="b">
        <v>0</v>
      </c>
      <c r="R46" s="12">
        <v>65</v>
      </c>
      <c r="S46" s="12">
        <v>64</v>
      </c>
      <c r="T46">
        <v>0</v>
      </c>
      <c r="U46">
        <v>0</v>
      </c>
      <c r="V46">
        <v>0</v>
      </c>
      <c r="W46">
        <v>0</v>
      </c>
      <c r="X46" s="12">
        <v>65</v>
      </c>
      <c r="Y46">
        <v>0</v>
      </c>
      <c r="Z46" t="b">
        <v>0</v>
      </c>
      <c r="AB46" s="14" t="s">
        <v>598</v>
      </c>
      <c r="AC46">
        <v>1</v>
      </c>
      <c r="AD46">
        <v>0</v>
      </c>
      <c r="AE46" t="b">
        <v>0</v>
      </c>
      <c r="AF46">
        <v>0</v>
      </c>
      <c r="AG46">
        <v>1</v>
      </c>
      <c r="AH46" s="15" t="s">
        <v>38</v>
      </c>
      <c r="AI46" t="b">
        <v>0</v>
      </c>
      <c r="AJ46">
        <v>0</v>
      </c>
      <c r="AL46" t="str">
        <f t="shared" si="0"/>
        <v>('fe56c45d-a4ac-4d76-bc26-ae070fd06e22','2025-05-31 08:27:43.267332+00','866dabc4-6501-44d2-a0e5-65da9c45a46e','2025-05-31 08:27:43.267332+00','866dabc4-6501-44d2-a0e5-65da9c45a46e',TRUE,'003','2024-08-13 16:24:00+02',0,FALSE,'Unit1','','2022-04-01 08:27:00+00','2022-04-02 08:27:00+00',FALSE,0,FALSE,65,64,0,0,0,0,65,0,FALSE,'','03625504-b150-46f3-b9e6-d572f5b8b776',1,0,FALSE,0,1,'4dbc7800-d343-4d6e-ab27-a7706b0cd126',FALSE,0),</v>
      </c>
    </row>
    <row r="47" spans="1:38" x14ac:dyDescent="0.25">
      <c r="A47" t="s">
        <v>574</v>
      </c>
      <c r="B47" t="s">
        <v>213</v>
      </c>
      <c r="C47" t="s">
        <v>0</v>
      </c>
      <c r="D47" t="s">
        <v>213</v>
      </c>
      <c r="E47" t="s">
        <v>0</v>
      </c>
      <c r="F47" t="b">
        <v>1</v>
      </c>
      <c r="G47" s="34" t="s">
        <v>599</v>
      </c>
      <c r="H47" s="39" t="s">
        <v>368</v>
      </c>
      <c r="I47">
        <v>0</v>
      </c>
      <c r="J47" t="b">
        <v>0</v>
      </c>
      <c r="K47" s="13" t="s">
        <v>215</v>
      </c>
      <c r="M47" t="s">
        <v>217</v>
      </c>
      <c r="N47" t="s">
        <v>218</v>
      </c>
      <c r="O47" t="b">
        <v>0</v>
      </c>
      <c r="P47">
        <v>0</v>
      </c>
      <c r="Q47" t="b">
        <v>0</v>
      </c>
      <c r="R47" s="12">
        <v>65</v>
      </c>
      <c r="S47" s="12">
        <v>64</v>
      </c>
      <c r="T47">
        <v>0</v>
      </c>
      <c r="U47">
        <v>0</v>
      </c>
      <c r="V47">
        <v>0</v>
      </c>
      <c r="W47">
        <v>0</v>
      </c>
      <c r="X47" s="12">
        <v>65</v>
      </c>
      <c r="Y47">
        <v>0</v>
      </c>
      <c r="Z47" t="b">
        <v>0</v>
      </c>
      <c r="AB47" s="14" t="s">
        <v>598</v>
      </c>
      <c r="AC47">
        <v>1</v>
      </c>
      <c r="AD47">
        <v>0</v>
      </c>
      <c r="AE47" t="b">
        <v>0</v>
      </c>
      <c r="AF47">
        <v>0</v>
      </c>
      <c r="AG47">
        <v>1</v>
      </c>
      <c r="AH47" s="15" t="s">
        <v>38</v>
      </c>
      <c r="AI47" t="b">
        <v>0</v>
      </c>
      <c r="AJ47">
        <v>0</v>
      </c>
      <c r="AL47" t="str">
        <f t="shared" si="0"/>
        <v>('1474ef6e-b557-4ff3-bb1e-218ed7e16474','2025-05-31 08:27:43.267332+00','866dabc4-6501-44d2-a0e5-65da9c45a46e','2025-05-31 08:27:43.267332+00','866dabc4-6501-44d2-a0e5-65da9c45a46e',TRUE,'003','2024-08-15 16:24:00+02',0,FALSE,'Unit1','','2022-04-01 08:27:00+00','2022-04-02 08:27:00+00',FALSE,0,FALSE,65,64,0,0,0,0,65,0,FALSE,'','03625504-b150-46f3-b9e6-d572f5b8b776',1,0,FALSE,0,1,'4dbc7800-d343-4d6e-ab27-a7706b0cd126',FALSE,0),</v>
      </c>
    </row>
    <row r="48" spans="1:38" x14ac:dyDescent="0.25">
      <c r="A48" t="s">
        <v>575</v>
      </c>
      <c r="B48" t="s">
        <v>213</v>
      </c>
      <c r="C48" t="s">
        <v>0</v>
      </c>
      <c r="D48" t="s">
        <v>213</v>
      </c>
      <c r="E48" t="s">
        <v>0</v>
      </c>
      <c r="F48" t="b">
        <v>1</v>
      </c>
      <c r="G48" s="34" t="s">
        <v>599</v>
      </c>
      <c r="H48" s="39" t="s">
        <v>369</v>
      </c>
      <c r="I48">
        <v>0</v>
      </c>
      <c r="J48" t="b">
        <v>0</v>
      </c>
      <c r="K48" s="13" t="s">
        <v>215</v>
      </c>
      <c r="M48" t="s">
        <v>217</v>
      </c>
      <c r="N48" t="s">
        <v>218</v>
      </c>
      <c r="O48" t="b">
        <v>0</v>
      </c>
      <c r="P48">
        <v>0</v>
      </c>
      <c r="Q48" t="b">
        <v>0</v>
      </c>
      <c r="R48" s="12">
        <v>65</v>
      </c>
      <c r="S48" s="12">
        <v>64</v>
      </c>
      <c r="T48">
        <v>0</v>
      </c>
      <c r="U48">
        <v>0</v>
      </c>
      <c r="V48">
        <v>0</v>
      </c>
      <c r="W48">
        <v>0</v>
      </c>
      <c r="X48" s="12">
        <v>65</v>
      </c>
      <c r="Y48">
        <v>0</v>
      </c>
      <c r="Z48" t="b">
        <v>0</v>
      </c>
      <c r="AB48" s="14" t="s">
        <v>598</v>
      </c>
      <c r="AC48">
        <v>1</v>
      </c>
      <c r="AD48">
        <v>0</v>
      </c>
      <c r="AE48" t="b">
        <v>0</v>
      </c>
      <c r="AF48">
        <v>0</v>
      </c>
      <c r="AG48">
        <v>1</v>
      </c>
      <c r="AH48" s="15" t="s">
        <v>38</v>
      </c>
      <c r="AI48" t="b">
        <v>0</v>
      </c>
      <c r="AJ48">
        <v>0</v>
      </c>
      <c r="AL48" t="str">
        <f t="shared" si="0"/>
        <v>('1fffc997-6778-42de-a86f-d27290f424b7','2025-05-31 08:27:43.267332+00','866dabc4-6501-44d2-a0e5-65da9c45a46e','2025-05-31 08:27:43.267332+00','866dabc4-6501-44d2-a0e5-65da9c45a46e',TRUE,'003','2024-08-17 16:24:00+02',0,FALSE,'Unit1','','2022-04-01 08:27:00+00','2022-04-02 08:27:00+00',FALSE,0,FALSE,65,64,0,0,0,0,65,0,FALSE,'','03625504-b150-46f3-b9e6-d572f5b8b776',1,0,FALSE,0,1,'4dbc7800-d343-4d6e-ab27-a7706b0cd126',FALSE,0),</v>
      </c>
    </row>
    <row r="49" spans="1:38" x14ac:dyDescent="0.25">
      <c r="A49" t="s">
        <v>576</v>
      </c>
      <c r="B49" t="s">
        <v>213</v>
      </c>
      <c r="C49" t="s">
        <v>0</v>
      </c>
      <c r="D49" t="s">
        <v>213</v>
      </c>
      <c r="E49" t="s">
        <v>0</v>
      </c>
      <c r="F49" t="b">
        <v>1</v>
      </c>
      <c r="G49" s="34" t="s">
        <v>599</v>
      </c>
      <c r="H49" s="39" t="s">
        <v>370</v>
      </c>
      <c r="I49" s="37">
        <v>0</v>
      </c>
      <c r="J49" s="37" t="b">
        <v>0</v>
      </c>
      <c r="K49" s="37" t="s">
        <v>215</v>
      </c>
      <c r="L49" s="37"/>
      <c r="M49" s="37" t="s">
        <v>217</v>
      </c>
      <c r="N49" s="37" t="s">
        <v>218</v>
      </c>
      <c r="O49" s="37" t="b">
        <v>0</v>
      </c>
      <c r="P49" s="37">
        <v>0</v>
      </c>
      <c r="Q49" s="37" t="b">
        <v>0</v>
      </c>
      <c r="R49" s="12">
        <v>65</v>
      </c>
      <c r="S49" s="12">
        <v>64</v>
      </c>
      <c r="T49">
        <v>0</v>
      </c>
      <c r="U49">
        <v>0</v>
      </c>
      <c r="V49">
        <v>0</v>
      </c>
      <c r="W49">
        <v>0</v>
      </c>
      <c r="X49" s="12">
        <v>65</v>
      </c>
      <c r="Y49" s="37">
        <v>0</v>
      </c>
      <c r="Z49" s="37" t="b">
        <v>0</v>
      </c>
      <c r="AA49" s="37"/>
      <c r="AB49" s="14" t="s">
        <v>598</v>
      </c>
      <c r="AC49" s="37">
        <v>1</v>
      </c>
      <c r="AD49" s="37">
        <v>0</v>
      </c>
      <c r="AE49" s="37" t="b">
        <v>0</v>
      </c>
      <c r="AF49" s="37">
        <v>0</v>
      </c>
      <c r="AG49" s="37">
        <v>1</v>
      </c>
      <c r="AH49" s="37" t="s">
        <v>38</v>
      </c>
      <c r="AI49" s="37" t="b">
        <v>0</v>
      </c>
      <c r="AJ49" s="37">
        <v>0</v>
      </c>
      <c r="AL49" t="str">
        <f t="shared" si="0"/>
        <v>('5816d2d3-ee29-48b6-8dd3-cc8d783f9f75','2025-05-31 08:27:43.267332+00','866dabc4-6501-44d2-a0e5-65da9c45a46e','2025-05-31 08:27:43.267332+00','866dabc4-6501-44d2-a0e5-65da9c45a46e',TRUE,'003','2024-08-20 16:24:00+03',0,FALSE,'Unit1','','2022-04-01 08:27:00+00','2022-04-02 08:27:00+00',FALSE,0,FALSE,65,64,0,0,0,0,65,0,FALSE,'','03625504-b150-46f3-b9e6-d572f5b8b776',1,0,FALSE,0,1,'4dbc7800-d343-4d6e-ab27-a7706b0cd126',FALSE,0),</v>
      </c>
    </row>
    <row r="50" spans="1:38" x14ac:dyDescent="0.25">
      <c r="A50" t="s">
        <v>577</v>
      </c>
      <c r="B50" t="s">
        <v>213</v>
      </c>
      <c r="C50" t="s">
        <v>0</v>
      </c>
      <c r="D50" t="s">
        <v>213</v>
      </c>
      <c r="E50" t="s">
        <v>0</v>
      </c>
      <c r="F50" t="b">
        <v>1</v>
      </c>
      <c r="G50" s="34" t="s">
        <v>599</v>
      </c>
      <c r="H50" s="39" t="s">
        <v>371</v>
      </c>
      <c r="I50">
        <v>0</v>
      </c>
      <c r="J50" t="b">
        <v>0</v>
      </c>
      <c r="K50" s="13" t="s">
        <v>215</v>
      </c>
      <c r="M50" t="s">
        <v>217</v>
      </c>
      <c r="N50" t="s">
        <v>218</v>
      </c>
      <c r="O50" t="b">
        <v>0</v>
      </c>
      <c r="P50">
        <v>0</v>
      </c>
      <c r="Q50" t="b">
        <v>0</v>
      </c>
      <c r="R50" s="12">
        <v>65</v>
      </c>
      <c r="S50" s="12">
        <v>64</v>
      </c>
      <c r="T50">
        <v>0</v>
      </c>
      <c r="U50">
        <v>0</v>
      </c>
      <c r="V50">
        <v>0</v>
      </c>
      <c r="W50">
        <v>0</v>
      </c>
      <c r="X50" s="12">
        <v>65</v>
      </c>
      <c r="Y50">
        <v>0</v>
      </c>
      <c r="Z50" t="b">
        <v>0</v>
      </c>
      <c r="AB50" s="14" t="s">
        <v>598</v>
      </c>
      <c r="AC50">
        <v>1</v>
      </c>
      <c r="AD50">
        <v>0</v>
      </c>
      <c r="AE50" t="b">
        <v>0</v>
      </c>
      <c r="AF50">
        <v>0</v>
      </c>
      <c r="AG50">
        <v>1</v>
      </c>
      <c r="AH50" s="15" t="s">
        <v>38</v>
      </c>
      <c r="AI50" t="b">
        <v>0</v>
      </c>
      <c r="AJ50">
        <v>0</v>
      </c>
      <c r="AL50" t="str">
        <f t="shared" si="0"/>
        <v>('db2d7c41-9c13-4881-8481-c7273d625bc7','2025-05-31 08:27:43.267332+00','866dabc4-6501-44d2-a0e5-65da9c45a46e','2025-05-31 08:27:43.267332+00','866dabc4-6501-44d2-a0e5-65da9c45a46e',TRUE,'003','2024-08-22 16:24:00+03',0,FALSE,'Unit1','','2022-04-01 08:27:00+00','2022-04-02 08:27:00+00',FALSE,0,FALSE,65,64,0,0,0,0,65,0,FALSE,'','03625504-b150-46f3-b9e6-d572f5b8b776',1,0,FALSE,0,1,'4dbc7800-d343-4d6e-ab27-a7706b0cd126',FALSE,0),</v>
      </c>
    </row>
    <row r="51" spans="1:38" x14ac:dyDescent="0.25">
      <c r="A51" t="s">
        <v>578</v>
      </c>
      <c r="B51" t="s">
        <v>213</v>
      </c>
      <c r="C51" t="s">
        <v>0</v>
      </c>
      <c r="D51" t="s">
        <v>213</v>
      </c>
      <c r="E51" t="s">
        <v>0</v>
      </c>
      <c r="F51" t="b">
        <v>1</v>
      </c>
      <c r="G51" s="34" t="s">
        <v>599</v>
      </c>
      <c r="H51" s="39" t="s">
        <v>372</v>
      </c>
      <c r="I51">
        <v>0</v>
      </c>
      <c r="J51" t="b">
        <v>0</v>
      </c>
      <c r="K51" s="13" t="s">
        <v>215</v>
      </c>
      <c r="M51" t="s">
        <v>217</v>
      </c>
      <c r="N51" t="s">
        <v>218</v>
      </c>
      <c r="O51" t="b">
        <v>0</v>
      </c>
      <c r="P51">
        <v>0</v>
      </c>
      <c r="Q51" t="b">
        <v>0</v>
      </c>
      <c r="R51" s="12">
        <v>65</v>
      </c>
      <c r="S51" s="12">
        <v>64</v>
      </c>
      <c r="T51">
        <v>0</v>
      </c>
      <c r="U51">
        <v>0</v>
      </c>
      <c r="V51">
        <v>0</v>
      </c>
      <c r="W51">
        <v>0</v>
      </c>
      <c r="X51" s="12">
        <v>65</v>
      </c>
      <c r="Y51">
        <v>0</v>
      </c>
      <c r="Z51" t="b">
        <v>0</v>
      </c>
      <c r="AB51" s="14" t="s">
        <v>598</v>
      </c>
      <c r="AC51">
        <v>1</v>
      </c>
      <c r="AD51">
        <v>0</v>
      </c>
      <c r="AE51" t="b">
        <v>0</v>
      </c>
      <c r="AF51">
        <v>0</v>
      </c>
      <c r="AG51">
        <v>1</v>
      </c>
      <c r="AH51" s="15" t="s">
        <v>38</v>
      </c>
      <c r="AI51" t="b">
        <v>0</v>
      </c>
      <c r="AJ51">
        <v>0</v>
      </c>
      <c r="AL51" t="str">
        <f t="shared" si="0"/>
        <v>('770c1bf7-d114-49fe-a3d3-7ea30f4a280c','2025-05-31 08:27:43.267332+00','866dabc4-6501-44d2-a0e5-65da9c45a46e','2025-05-31 08:27:43.267332+00','866dabc4-6501-44d2-a0e5-65da9c45a46e',TRUE,'003','2024-08-24 16:24:00+03',0,FALSE,'Unit1','','2022-04-01 08:27:00+00','2022-04-02 08:27:00+00',FALSE,0,FALSE,65,64,0,0,0,0,65,0,FALSE,'','03625504-b150-46f3-b9e6-d572f5b8b776',1,0,FALSE,0,1,'4dbc7800-d343-4d6e-ab27-a7706b0cd126',FALSE,0),</v>
      </c>
    </row>
    <row r="52" spans="1:38" x14ac:dyDescent="0.25">
      <c r="A52" t="s">
        <v>579</v>
      </c>
      <c r="B52" t="s">
        <v>213</v>
      </c>
      <c r="C52" t="s">
        <v>0</v>
      </c>
      <c r="D52" t="s">
        <v>213</v>
      </c>
      <c r="E52" t="s">
        <v>0</v>
      </c>
      <c r="F52" t="b">
        <v>1</v>
      </c>
      <c r="G52" s="34" t="s">
        <v>599</v>
      </c>
      <c r="H52" s="39" t="s">
        <v>373</v>
      </c>
      <c r="I52">
        <v>0</v>
      </c>
      <c r="J52" t="b">
        <v>0</v>
      </c>
      <c r="K52" s="13" t="s">
        <v>215</v>
      </c>
      <c r="M52" t="s">
        <v>217</v>
      </c>
      <c r="N52" t="s">
        <v>218</v>
      </c>
      <c r="O52" t="b">
        <v>0</v>
      </c>
      <c r="P52">
        <v>0</v>
      </c>
      <c r="Q52" t="b">
        <v>0</v>
      </c>
      <c r="R52" s="12">
        <v>65</v>
      </c>
      <c r="S52" s="12">
        <v>64</v>
      </c>
      <c r="T52">
        <v>0</v>
      </c>
      <c r="U52">
        <v>0</v>
      </c>
      <c r="V52">
        <v>0</v>
      </c>
      <c r="W52">
        <v>0</v>
      </c>
      <c r="X52" s="12">
        <v>65</v>
      </c>
      <c r="Y52">
        <v>0</v>
      </c>
      <c r="Z52" t="b">
        <v>0</v>
      </c>
      <c r="AB52" s="14" t="s">
        <v>598</v>
      </c>
      <c r="AC52">
        <v>1</v>
      </c>
      <c r="AD52">
        <v>0</v>
      </c>
      <c r="AE52" t="b">
        <v>0</v>
      </c>
      <c r="AF52">
        <v>0</v>
      </c>
      <c r="AG52">
        <v>1</v>
      </c>
      <c r="AH52" s="15" t="s">
        <v>38</v>
      </c>
      <c r="AI52" t="b">
        <v>0</v>
      </c>
      <c r="AJ52">
        <v>0</v>
      </c>
      <c r="AL52" t="str">
        <f t="shared" si="0"/>
        <v>('fdedf1b5-0542-4ef5-8bac-735a9ebe7609','2025-05-31 08:27:43.267332+00','866dabc4-6501-44d2-a0e5-65da9c45a46e','2025-05-31 08:27:43.267332+00','866dabc4-6501-44d2-a0e5-65da9c45a46e',TRUE,'003','2024-08-27 16:24:00+04',0,FALSE,'Unit1','','2022-04-01 08:27:00+00','2022-04-02 08:27:00+00',FALSE,0,FALSE,65,64,0,0,0,0,65,0,FALSE,'','03625504-b150-46f3-b9e6-d572f5b8b776',1,0,FALSE,0,1,'4dbc7800-d343-4d6e-ab27-a7706b0cd126',FALSE,0),</v>
      </c>
    </row>
    <row r="53" spans="1:38" x14ac:dyDescent="0.25">
      <c r="A53" t="s">
        <v>580</v>
      </c>
      <c r="B53" t="s">
        <v>213</v>
      </c>
      <c r="C53" t="s">
        <v>0</v>
      </c>
      <c r="D53" t="s">
        <v>213</v>
      </c>
      <c r="E53" t="s">
        <v>0</v>
      </c>
      <c r="F53" t="b">
        <v>1</v>
      </c>
      <c r="G53" s="34" t="s">
        <v>599</v>
      </c>
      <c r="H53" s="39" t="s">
        <v>374</v>
      </c>
      <c r="I53">
        <v>0</v>
      </c>
      <c r="J53" t="b">
        <v>0</v>
      </c>
      <c r="K53" s="13" t="s">
        <v>215</v>
      </c>
      <c r="M53" t="s">
        <v>217</v>
      </c>
      <c r="N53" t="s">
        <v>218</v>
      </c>
      <c r="O53" t="b">
        <v>0</v>
      </c>
      <c r="P53">
        <v>0</v>
      </c>
      <c r="Q53" t="b">
        <v>0</v>
      </c>
      <c r="R53" s="12">
        <v>65</v>
      </c>
      <c r="S53" s="12">
        <v>64</v>
      </c>
      <c r="T53">
        <v>0</v>
      </c>
      <c r="U53">
        <v>0</v>
      </c>
      <c r="V53">
        <v>0</v>
      </c>
      <c r="W53">
        <v>0</v>
      </c>
      <c r="X53" s="12">
        <v>65</v>
      </c>
      <c r="Y53">
        <v>0</v>
      </c>
      <c r="Z53" t="b">
        <v>0</v>
      </c>
      <c r="AB53" s="14" t="s">
        <v>598</v>
      </c>
      <c r="AC53">
        <v>1</v>
      </c>
      <c r="AD53">
        <v>0</v>
      </c>
      <c r="AE53" t="b">
        <v>0</v>
      </c>
      <c r="AF53">
        <v>0</v>
      </c>
      <c r="AG53">
        <v>1</v>
      </c>
      <c r="AH53" s="15" t="s">
        <v>38</v>
      </c>
      <c r="AI53" t="b">
        <v>0</v>
      </c>
      <c r="AJ53">
        <v>0</v>
      </c>
      <c r="AL53" t="str">
        <f t="shared" si="0"/>
        <v>('c55b9ecb-2b33-488f-a0b1-2cc355b4445a','2025-05-31 08:27:43.267332+00','866dabc4-6501-44d2-a0e5-65da9c45a46e','2025-05-31 08:27:43.267332+00','866dabc4-6501-44d2-a0e5-65da9c45a46e',TRUE,'003','2024-08-29 16:24:00+04',0,FALSE,'Unit1','','2022-04-01 08:27:00+00','2022-04-02 08:27:00+00',FALSE,0,FALSE,65,64,0,0,0,0,65,0,FALSE,'','03625504-b150-46f3-b9e6-d572f5b8b776',1,0,FALSE,0,1,'4dbc7800-d343-4d6e-ab27-a7706b0cd126',FALSE,0),</v>
      </c>
    </row>
    <row r="54" spans="1:38" x14ac:dyDescent="0.25">
      <c r="A54" t="s">
        <v>581</v>
      </c>
      <c r="B54" t="s">
        <v>213</v>
      </c>
      <c r="C54" t="s">
        <v>0</v>
      </c>
      <c r="D54" t="s">
        <v>213</v>
      </c>
      <c r="E54" t="s">
        <v>0</v>
      </c>
      <c r="F54" t="b">
        <v>1</v>
      </c>
      <c r="G54" s="34" t="s">
        <v>599</v>
      </c>
      <c r="H54" s="39" t="s">
        <v>375</v>
      </c>
      <c r="I54" s="37">
        <v>0</v>
      </c>
      <c r="J54" s="37" t="b">
        <v>0</v>
      </c>
      <c r="K54" s="37" t="s">
        <v>215</v>
      </c>
      <c r="L54" s="37"/>
      <c r="M54" s="37" t="s">
        <v>217</v>
      </c>
      <c r="N54" s="37" t="s">
        <v>218</v>
      </c>
      <c r="O54" s="37" t="b">
        <v>0</v>
      </c>
      <c r="P54" s="37">
        <v>0</v>
      </c>
      <c r="Q54" s="37" t="b">
        <v>0</v>
      </c>
      <c r="R54" s="12">
        <v>65</v>
      </c>
      <c r="S54" s="12">
        <v>64</v>
      </c>
      <c r="T54">
        <v>0</v>
      </c>
      <c r="U54">
        <v>0</v>
      </c>
      <c r="V54">
        <v>0</v>
      </c>
      <c r="W54">
        <v>0</v>
      </c>
      <c r="X54" s="12">
        <v>65</v>
      </c>
      <c r="Y54" s="37">
        <v>0</v>
      </c>
      <c r="Z54" s="37" t="b">
        <v>0</v>
      </c>
      <c r="AA54" s="37"/>
      <c r="AB54" s="14" t="s">
        <v>598</v>
      </c>
      <c r="AC54" s="37">
        <v>1</v>
      </c>
      <c r="AD54" s="37">
        <v>0</v>
      </c>
      <c r="AE54" s="37" t="b">
        <v>0</v>
      </c>
      <c r="AF54" s="37">
        <v>0</v>
      </c>
      <c r="AG54" s="37">
        <v>1</v>
      </c>
      <c r="AH54" s="37" t="s">
        <v>38</v>
      </c>
      <c r="AI54" s="37" t="b">
        <v>0</v>
      </c>
      <c r="AJ54" s="37">
        <v>0</v>
      </c>
      <c r="AL54" t="str">
        <f t="shared" si="0"/>
        <v>('47e37966-a06a-45b9-bb49-832d760fbbc0','2025-05-31 08:27:43.267332+00','866dabc4-6501-44d2-a0e5-65da9c45a46e','2025-05-31 08:27:43.267332+00','866dabc4-6501-44d2-a0e5-65da9c45a46e',TRUE,'003','2024-08-31 16:24:00+04',0,FALSE,'Unit1','','2022-04-01 08:27:00+00','2022-04-02 08:27:00+00',FALSE,0,FALSE,65,64,0,0,0,0,65,0,FALSE,'','03625504-b150-46f3-b9e6-d572f5b8b776',1,0,FALSE,0,1,'4dbc7800-d343-4d6e-ab27-a7706b0cd126',FALSE,0),</v>
      </c>
    </row>
    <row r="55" spans="1:38" x14ac:dyDescent="0.25">
      <c r="A55" s="25" t="s">
        <v>582</v>
      </c>
      <c r="B55" t="s">
        <v>213</v>
      </c>
      <c r="C55" t="s">
        <v>0</v>
      </c>
      <c r="D55" t="s">
        <v>213</v>
      </c>
      <c r="E55" t="s">
        <v>0</v>
      </c>
      <c r="F55" t="b">
        <v>1</v>
      </c>
      <c r="G55" s="34" t="s">
        <v>599</v>
      </c>
      <c r="H55" s="39" t="s">
        <v>376</v>
      </c>
      <c r="I55">
        <v>0</v>
      </c>
      <c r="J55" t="b">
        <v>0</v>
      </c>
      <c r="K55" s="13" t="s">
        <v>215</v>
      </c>
      <c r="M55" t="s">
        <v>217</v>
      </c>
      <c r="N55" t="s">
        <v>218</v>
      </c>
      <c r="O55" t="b">
        <v>0</v>
      </c>
      <c r="P55">
        <v>0</v>
      </c>
      <c r="Q55" t="b">
        <v>0</v>
      </c>
      <c r="R55" s="12">
        <v>65</v>
      </c>
      <c r="S55" s="12">
        <v>64</v>
      </c>
      <c r="T55">
        <v>0</v>
      </c>
      <c r="U55">
        <v>0</v>
      </c>
      <c r="V55">
        <v>0</v>
      </c>
      <c r="W55">
        <v>0</v>
      </c>
      <c r="X55" s="12">
        <v>65</v>
      </c>
      <c r="Y55">
        <v>0</v>
      </c>
      <c r="Z55" t="b">
        <v>0</v>
      </c>
      <c r="AB55" s="14" t="s">
        <v>598</v>
      </c>
      <c r="AC55">
        <v>1</v>
      </c>
      <c r="AD55">
        <v>0</v>
      </c>
      <c r="AE55" t="b">
        <v>0</v>
      </c>
      <c r="AF55">
        <v>0</v>
      </c>
      <c r="AG55">
        <v>1</v>
      </c>
      <c r="AH55" s="15" t="s">
        <v>38</v>
      </c>
      <c r="AI55" t="b">
        <v>0</v>
      </c>
      <c r="AJ55">
        <v>0</v>
      </c>
      <c r="AL55" t="str">
        <f t="shared" si="0"/>
        <v>('4dbde329-db66-4c13-81e8-ce4378e0a71b','2025-05-31 08:27:43.267332+00','866dabc4-6501-44d2-a0e5-65da9c45a46e','2025-05-31 08:27:43.267332+00','866dabc4-6501-44d2-a0e5-65da9c45a46e',TRUE,'003','2024-09-03 16:24:00+00',0,FALSE,'Unit1','','2022-04-01 08:27:00+00','2022-04-02 08:27:00+00',FALSE,0,FALSE,65,64,0,0,0,0,65,0,FALSE,'','03625504-b150-46f3-b9e6-d572f5b8b776',1,0,FALSE,0,1,'4dbc7800-d343-4d6e-ab27-a7706b0cd126',FALSE,0),</v>
      </c>
    </row>
    <row r="56" spans="1:38" x14ac:dyDescent="0.25">
      <c r="A56" t="s">
        <v>583</v>
      </c>
      <c r="B56" t="s">
        <v>213</v>
      </c>
      <c r="C56" t="s">
        <v>0</v>
      </c>
      <c r="D56" t="s">
        <v>213</v>
      </c>
      <c r="E56" t="s">
        <v>0</v>
      </c>
      <c r="F56" t="b">
        <v>1</v>
      </c>
      <c r="G56" s="34" t="s">
        <v>599</v>
      </c>
      <c r="H56" s="39" t="s">
        <v>377</v>
      </c>
      <c r="I56">
        <v>0</v>
      </c>
      <c r="J56" t="b">
        <v>0</v>
      </c>
      <c r="K56" s="13" t="s">
        <v>215</v>
      </c>
      <c r="M56" t="s">
        <v>217</v>
      </c>
      <c r="N56" t="s">
        <v>218</v>
      </c>
      <c r="O56" t="b">
        <v>0</v>
      </c>
      <c r="P56">
        <v>0</v>
      </c>
      <c r="Q56" t="b">
        <v>0</v>
      </c>
      <c r="R56" s="12">
        <v>65</v>
      </c>
      <c r="S56" s="12">
        <v>64</v>
      </c>
      <c r="T56">
        <v>0</v>
      </c>
      <c r="U56">
        <v>0</v>
      </c>
      <c r="V56">
        <v>0</v>
      </c>
      <c r="W56">
        <v>0</v>
      </c>
      <c r="X56" s="12">
        <v>65</v>
      </c>
      <c r="Y56">
        <v>0</v>
      </c>
      <c r="Z56" t="b">
        <v>0</v>
      </c>
      <c r="AB56" s="14" t="s">
        <v>598</v>
      </c>
      <c r="AC56">
        <v>1</v>
      </c>
      <c r="AD56">
        <v>0</v>
      </c>
      <c r="AE56" t="b">
        <v>0</v>
      </c>
      <c r="AF56">
        <v>0</v>
      </c>
      <c r="AG56">
        <v>1</v>
      </c>
      <c r="AH56" s="15" t="s">
        <v>38</v>
      </c>
      <c r="AI56" t="b">
        <v>0</v>
      </c>
      <c r="AJ56">
        <v>0</v>
      </c>
      <c r="AL56" t="str">
        <f t="shared" si="0"/>
        <v>('0db52e95-6579-4b29-ae5d-46ab0aa92181','2025-05-31 08:27:43.267332+00','866dabc4-6501-44d2-a0e5-65da9c45a46e','2025-05-31 08:27:43.267332+00','866dabc4-6501-44d2-a0e5-65da9c45a46e',TRUE,'003','2024-09-05 16:24:00+00',0,FALSE,'Unit1','','2022-04-01 08:27:00+00','2022-04-02 08:27:00+00',FALSE,0,FALSE,65,64,0,0,0,0,65,0,FALSE,'','03625504-b150-46f3-b9e6-d572f5b8b776',1,0,FALSE,0,1,'4dbc7800-d343-4d6e-ab27-a7706b0cd126',FALSE,0),</v>
      </c>
    </row>
    <row r="57" spans="1:38" x14ac:dyDescent="0.25">
      <c r="A57" t="s">
        <v>584</v>
      </c>
      <c r="B57" t="s">
        <v>213</v>
      </c>
      <c r="C57" t="s">
        <v>0</v>
      </c>
      <c r="D57" t="s">
        <v>213</v>
      </c>
      <c r="E57" t="s">
        <v>0</v>
      </c>
      <c r="F57" t="b">
        <v>1</v>
      </c>
      <c r="G57" s="34" t="s">
        <v>599</v>
      </c>
      <c r="H57" s="39" t="s">
        <v>381</v>
      </c>
      <c r="I57">
        <v>0</v>
      </c>
      <c r="J57" t="b">
        <v>0</v>
      </c>
      <c r="K57" s="13" t="s">
        <v>215</v>
      </c>
      <c r="M57" t="s">
        <v>217</v>
      </c>
      <c r="N57" t="s">
        <v>218</v>
      </c>
      <c r="O57" t="b">
        <v>0</v>
      </c>
      <c r="P57">
        <v>0</v>
      </c>
      <c r="Q57" t="b">
        <v>0</v>
      </c>
      <c r="R57" s="12">
        <v>65</v>
      </c>
      <c r="S57" s="12">
        <v>64</v>
      </c>
      <c r="T57">
        <v>0</v>
      </c>
      <c r="U57">
        <v>0</v>
      </c>
      <c r="V57">
        <v>0</v>
      </c>
      <c r="W57">
        <v>0</v>
      </c>
      <c r="X57" s="12">
        <v>65</v>
      </c>
      <c r="Y57">
        <v>0</v>
      </c>
      <c r="Z57" t="b">
        <v>0</v>
      </c>
      <c r="AB57" s="14" t="s">
        <v>598</v>
      </c>
      <c r="AC57">
        <v>1</v>
      </c>
      <c r="AD57">
        <v>0</v>
      </c>
      <c r="AE57" t="b">
        <v>0</v>
      </c>
      <c r="AF57">
        <v>0</v>
      </c>
      <c r="AG57">
        <v>1</v>
      </c>
      <c r="AH57" s="15" t="s">
        <v>38</v>
      </c>
      <c r="AI57" t="b">
        <v>0</v>
      </c>
      <c r="AJ57">
        <v>0</v>
      </c>
      <c r="AL57" t="str">
        <f t="shared" si="0"/>
        <v>('8bcb1869-8a51-4c38-a3c1-fcea5e163956','2025-05-31 08:27:43.267332+00','866dabc4-6501-44d2-a0e5-65da9c45a46e','2025-05-31 08:27:43.267332+00','866dabc4-6501-44d2-a0e5-65da9c45a46e',TRUE,'003','2024-09-07 16:24:00+00',0,FALSE,'Unit1','','2022-04-01 08:27:00+00','2022-04-02 08:27:00+00',FALSE,0,FALSE,65,64,0,0,0,0,65,0,FALSE,'','03625504-b150-46f3-b9e6-d572f5b8b776',1,0,FALSE,0,1,'4dbc7800-d343-4d6e-ab27-a7706b0cd126',FALSE,0),</v>
      </c>
    </row>
    <row r="58" spans="1:38" x14ac:dyDescent="0.25">
      <c r="A58" t="s">
        <v>585</v>
      </c>
      <c r="B58" t="s">
        <v>213</v>
      </c>
      <c r="C58" t="s">
        <v>0</v>
      </c>
      <c r="D58" t="s">
        <v>213</v>
      </c>
      <c r="E58" t="s">
        <v>0</v>
      </c>
      <c r="F58" t="b">
        <v>1</v>
      </c>
      <c r="G58" s="34" t="s">
        <v>599</v>
      </c>
      <c r="H58" s="39" t="s">
        <v>382</v>
      </c>
      <c r="I58">
        <v>0</v>
      </c>
      <c r="J58" t="b">
        <v>0</v>
      </c>
      <c r="K58" s="13" t="s">
        <v>215</v>
      </c>
      <c r="M58" t="s">
        <v>217</v>
      </c>
      <c r="N58" t="s">
        <v>218</v>
      </c>
      <c r="O58" t="b">
        <v>0</v>
      </c>
      <c r="P58">
        <v>0</v>
      </c>
      <c r="Q58" t="b">
        <v>0</v>
      </c>
      <c r="R58" s="12">
        <v>65</v>
      </c>
      <c r="S58" s="12">
        <v>64</v>
      </c>
      <c r="T58">
        <v>0</v>
      </c>
      <c r="U58">
        <v>0</v>
      </c>
      <c r="V58">
        <v>0</v>
      </c>
      <c r="W58">
        <v>0</v>
      </c>
      <c r="X58" s="12">
        <v>65</v>
      </c>
      <c r="Y58">
        <v>0</v>
      </c>
      <c r="Z58" t="b">
        <v>0</v>
      </c>
      <c r="AB58" s="14" t="s">
        <v>598</v>
      </c>
      <c r="AC58">
        <v>1</v>
      </c>
      <c r="AD58">
        <v>0</v>
      </c>
      <c r="AE58" t="b">
        <v>0</v>
      </c>
      <c r="AF58">
        <v>0</v>
      </c>
      <c r="AG58">
        <v>1</v>
      </c>
      <c r="AH58" s="15" t="s">
        <v>38</v>
      </c>
      <c r="AI58" t="b">
        <v>0</v>
      </c>
      <c r="AJ58">
        <v>0</v>
      </c>
      <c r="AL58" t="str">
        <f t="shared" si="0"/>
        <v>('4466b1ed-b531-44cf-a6d9-5881e833da1f','2025-05-31 08:27:43.267332+00','866dabc4-6501-44d2-a0e5-65da9c45a46e','2025-05-31 08:27:43.267332+00','866dabc4-6501-44d2-a0e5-65da9c45a46e',TRUE,'003','2024-09-10 16:24:00+01',0,FALSE,'Unit1','','2022-04-01 08:27:00+00','2022-04-02 08:27:00+00',FALSE,0,FALSE,65,64,0,0,0,0,65,0,FALSE,'','03625504-b150-46f3-b9e6-d572f5b8b776',1,0,FALSE,0,1,'4dbc7800-d343-4d6e-ab27-a7706b0cd126',FALSE,0),</v>
      </c>
    </row>
    <row r="59" spans="1:38" x14ac:dyDescent="0.25">
      <c r="A59" t="s">
        <v>586</v>
      </c>
      <c r="B59" t="s">
        <v>213</v>
      </c>
      <c r="C59" t="s">
        <v>0</v>
      </c>
      <c r="D59" t="s">
        <v>213</v>
      </c>
      <c r="E59" t="s">
        <v>0</v>
      </c>
      <c r="F59" t="b">
        <v>1</v>
      </c>
      <c r="G59" s="34" t="s">
        <v>599</v>
      </c>
      <c r="H59" s="39" t="s">
        <v>378</v>
      </c>
      <c r="I59" s="37">
        <v>0</v>
      </c>
      <c r="J59" s="37" t="b">
        <v>0</v>
      </c>
      <c r="K59" s="37" t="s">
        <v>215</v>
      </c>
      <c r="L59" s="37"/>
      <c r="M59" s="37" t="s">
        <v>217</v>
      </c>
      <c r="N59" s="37" t="s">
        <v>218</v>
      </c>
      <c r="O59" s="37" t="b">
        <v>0</v>
      </c>
      <c r="P59" s="37">
        <v>0</v>
      </c>
      <c r="Q59" s="37" t="b">
        <v>0</v>
      </c>
      <c r="R59" s="12">
        <v>65</v>
      </c>
      <c r="S59" s="12">
        <v>64</v>
      </c>
      <c r="T59">
        <v>0</v>
      </c>
      <c r="U59">
        <v>0</v>
      </c>
      <c r="V59">
        <v>0</v>
      </c>
      <c r="W59">
        <v>0</v>
      </c>
      <c r="X59" s="12">
        <v>65</v>
      </c>
      <c r="Y59" s="37">
        <v>0</v>
      </c>
      <c r="Z59" s="37" t="b">
        <v>0</v>
      </c>
      <c r="AA59" s="37"/>
      <c r="AB59" s="14" t="s">
        <v>598</v>
      </c>
      <c r="AC59" s="37">
        <v>1</v>
      </c>
      <c r="AD59" s="37">
        <v>0</v>
      </c>
      <c r="AE59" s="37" t="b">
        <v>0</v>
      </c>
      <c r="AF59" s="37">
        <v>0</v>
      </c>
      <c r="AG59" s="37">
        <v>1</v>
      </c>
      <c r="AH59" s="37" t="s">
        <v>38</v>
      </c>
      <c r="AI59" s="37" t="b">
        <v>0</v>
      </c>
      <c r="AJ59" s="37">
        <v>0</v>
      </c>
      <c r="AL59" t="str">
        <f t="shared" si="0"/>
        <v>('ee7713d1-e9f0-42e6-b038-7b6597118963','2025-05-31 08:27:43.267332+00','866dabc4-6501-44d2-a0e5-65da9c45a46e','2025-05-31 08:27:43.267332+00','866dabc4-6501-44d2-a0e5-65da9c45a46e',TRUE,'003','2024-09-12 16:24:00+01',0,FALSE,'Unit1','','2022-04-01 08:27:00+00','2022-04-02 08:27:00+00',FALSE,0,FALSE,65,64,0,0,0,0,65,0,FALSE,'','03625504-b150-46f3-b9e6-d572f5b8b776',1,0,FALSE,0,1,'4dbc7800-d343-4d6e-ab27-a7706b0cd126',FALSE,0),</v>
      </c>
    </row>
    <row r="60" spans="1:38" x14ac:dyDescent="0.25">
      <c r="A60" t="s">
        <v>587</v>
      </c>
      <c r="B60" t="s">
        <v>213</v>
      </c>
      <c r="C60" t="s">
        <v>0</v>
      </c>
      <c r="D60" t="s">
        <v>213</v>
      </c>
      <c r="E60" t="s">
        <v>0</v>
      </c>
      <c r="F60" t="b">
        <v>1</v>
      </c>
      <c r="G60" s="34" t="s">
        <v>599</v>
      </c>
      <c r="H60" s="39" t="s">
        <v>383</v>
      </c>
      <c r="I60">
        <v>0</v>
      </c>
      <c r="J60" t="b">
        <v>0</v>
      </c>
      <c r="K60" s="13" t="s">
        <v>215</v>
      </c>
      <c r="M60" t="s">
        <v>217</v>
      </c>
      <c r="N60" t="s">
        <v>218</v>
      </c>
      <c r="O60" t="b">
        <v>0</v>
      </c>
      <c r="P60">
        <v>0</v>
      </c>
      <c r="Q60" t="b">
        <v>0</v>
      </c>
      <c r="R60" s="12">
        <v>65</v>
      </c>
      <c r="S60" s="12">
        <v>64</v>
      </c>
      <c r="T60">
        <v>0</v>
      </c>
      <c r="U60">
        <v>0</v>
      </c>
      <c r="V60">
        <v>0</v>
      </c>
      <c r="W60">
        <v>0</v>
      </c>
      <c r="X60" s="12">
        <v>65</v>
      </c>
      <c r="Y60">
        <v>0</v>
      </c>
      <c r="Z60" t="b">
        <v>0</v>
      </c>
      <c r="AB60" s="14" t="s">
        <v>598</v>
      </c>
      <c r="AC60">
        <v>1</v>
      </c>
      <c r="AD60">
        <v>0</v>
      </c>
      <c r="AE60" t="b">
        <v>0</v>
      </c>
      <c r="AF60">
        <v>0</v>
      </c>
      <c r="AG60">
        <v>1</v>
      </c>
      <c r="AH60" s="15" t="s">
        <v>38</v>
      </c>
      <c r="AI60" t="b">
        <v>0</v>
      </c>
      <c r="AJ60">
        <v>0</v>
      </c>
      <c r="AL60" t="str">
        <f t="shared" si="0"/>
        <v>('759e742d-4e5c-40ae-8a79-8a3c5f1738b1','2025-05-31 08:27:43.267332+00','866dabc4-6501-44d2-a0e5-65da9c45a46e','2025-05-31 08:27:43.267332+00','866dabc4-6501-44d2-a0e5-65da9c45a46e',TRUE,'003','2024-09-14 16:24:00+01',0,FALSE,'Unit1','','2022-04-01 08:27:00+00','2022-04-02 08:27:00+00',FALSE,0,FALSE,65,64,0,0,0,0,65,0,FALSE,'','03625504-b150-46f3-b9e6-d572f5b8b776',1,0,FALSE,0,1,'4dbc7800-d343-4d6e-ab27-a7706b0cd126',FALSE,0),</v>
      </c>
    </row>
    <row r="61" spans="1:38" x14ac:dyDescent="0.25">
      <c r="A61" s="25" t="s">
        <v>588</v>
      </c>
      <c r="B61" t="s">
        <v>213</v>
      </c>
      <c r="C61" t="s">
        <v>0</v>
      </c>
      <c r="D61" t="s">
        <v>213</v>
      </c>
      <c r="E61" t="s">
        <v>0</v>
      </c>
      <c r="F61" t="b">
        <v>1</v>
      </c>
      <c r="G61" s="34" t="s">
        <v>599</v>
      </c>
      <c r="H61" s="39" t="s">
        <v>384</v>
      </c>
      <c r="I61">
        <v>0</v>
      </c>
      <c r="J61" t="b">
        <v>0</v>
      </c>
      <c r="K61" s="13" t="s">
        <v>215</v>
      </c>
      <c r="M61" t="s">
        <v>217</v>
      </c>
      <c r="N61" t="s">
        <v>218</v>
      </c>
      <c r="O61" t="b">
        <v>0</v>
      </c>
      <c r="P61">
        <v>0</v>
      </c>
      <c r="Q61" t="b">
        <v>0</v>
      </c>
      <c r="R61" s="12">
        <v>65</v>
      </c>
      <c r="S61" s="12">
        <v>64</v>
      </c>
      <c r="T61">
        <v>0</v>
      </c>
      <c r="U61">
        <v>0</v>
      </c>
      <c r="V61">
        <v>0</v>
      </c>
      <c r="W61">
        <v>0</v>
      </c>
      <c r="X61" s="12">
        <v>65</v>
      </c>
      <c r="Y61">
        <v>0</v>
      </c>
      <c r="Z61" t="b">
        <v>0</v>
      </c>
      <c r="AB61" s="14" t="s">
        <v>598</v>
      </c>
      <c r="AC61">
        <v>1</v>
      </c>
      <c r="AD61">
        <v>0</v>
      </c>
      <c r="AE61" t="b">
        <v>0</v>
      </c>
      <c r="AF61">
        <v>0</v>
      </c>
      <c r="AG61">
        <v>1</v>
      </c>
      <c r="AH61" s="15" t="s">
        <v>38</v>
      </c>
      <c r="AI61" t="b">
        <v>0</v>
      </c>
      <c r="AJ61">
        <v>0</v>
      </c>
      <c r="AL61" t="str">
        <f t="shared" si="0"/>
        <v>('b93e8089-608e-4e11-a78d-030149e75a7a','2025-05-31 08:27:43.267332+00','866dabc4-6501-44d2-a0e5-65da9c45a46e','2025-05-31 08:27:43.267332+00','866dabc4-6501-44d2-a0e5-65da9c45a46e',TRUE,'003','2024-09-17 16:24:00+02',0,FALSE,'Unit1','','2022-04-01 08:27:00+00','2022-04-02 08:27:00+00',FALSE,0,FALSE,65,64,0,0,0,0,65,0,FALSE,'','03625504-b150-46f3-b9e6-d572f5b8b776',1,0,FALSE,0,1,'4dbc7800-d343-4d6e-ab27-a7706b0cd126',FALSE,0),</v>
      </c>
    </row>
    <row r="62" spans="1:38" x14ac:dyDescent="0.25">
      <c r="A62" t="s">
        <v>589</v>
      </c>
      <c r="B62" t="s">
        <v>213</v>
      </c>
      <c r="C62" t="s">
        <v>0</v>
      </c>
      <c r="D62" t="s">
        <v>213</v>
      </c>
      <c r="E62" t="s">
        <v>0</v>
      </c>
      <c r="F62" t="b">
        <v>1</v>
      </c>
      <c r="G62" s="34" t="s">
        <v>599</v>
      </c>
      <c r="H62" s="39" t="s">
        <v>379</v>
      </c>
      <c r="I62">
        <v>0</v>
      </c>
      <c r="J62" t="b">
        <v>0</v>
      </c>
      <c r="K62" s="13" t="s">
        <v>215</v>
      </c>
      <c r="M62" t="s">
        <v>217</v>
      </c>
      <c r="N62" t="s">
        <v>218</v>
      </c>
      <c r="O62" t="b">
        <v>0</v>
      </c>
      <c r="P62">
        <v>0</v>
      </c>
      <c r="Q62" t="b">
        <v>0</v>
      </c>
      <c r="R62" s="12">
        <v>65</v>
      </c>
      <c r="S62" s="12">
        <v>64</v>
      </c>
      <c r="T62">
        <v>0</v>
      </c>
      <c r="U62">
        <v>0</v>
      </c>
      <c r="V62">
        <v>0</v>
      </c>
      <c r="W62">
        <v>0</v>
      </c>
      <c r="X62" s="12">
        <v>65</v>
      </c>
      <c r="Y62">
        <v>0</v>
      </c>
      <c r="Z62" t="b">
        <v>0</v>
      </c>
      <c r="AB62" s="14" t="s">
        <v>598</v>
      </c>
      <c r="AC62">
        <v>1</v>
      </c>
      <c r="AD62">
        <v>0</v>
      </c>
      <c r="AE62" t="b">
        <v>0</v>
      </c>
      <c r="AF62">
        <v>0</v>
      </c>
      <c r="AG62">
        <v>1</v>
      </c>
      <c r="AH62" s="15" t="s">
        <v>38</v>
      </c>
      <c r="AI62" t="b">
        <v>0</v>
      </c>
      <c r="AJ62">
        <v>0</v>
      </c>
      <c r="AL62" t="str">
        <f t="shared" si="0"/>
        <v>('d14366fb-75b6-40f6-87ac-63c4bd735f45','2025-05-31 08:27:43.267332+00','866dabc4-6501-44d2-a0e5-65da9c45a46e','2025-05-31 08:27:43.267332+00','866dabc4-6501-44d2-a0e5-65da9c45a46e',TRUE,'003','2024-09-19 16:24:00+02',0,FALSE,'Unit1','','2022-04-01 08:27:00+00','2022-04-02 08:27:00+00',FALSE,0,FALSE,65,64,0,0,0,0,65,0,FALSE,'','03625504-b150-46f3-b9e6-d572f5b8b776',1,0,FALSE,0,1,'4dbc7800-d343-4d6e-ab27-a7706b0cd126',FALSE,0),</v>
      </c>
    </row>
    <row r="63" spans="1:38" x14ac:dyDescent="0.25">
      <c r="A63" t="s">
        <v>590</v>
      </c>
      <c r="B63" t="s">
        <v>213</v>
      </c>
      <c r="C63" t="s">
        <v>0</v>
      </c>
      <c r="D63" t="s">
        <v>213</v>
      </c>
      <c r="E63" t="s">
        <v>0</v>
      </c>
      <c r="F63" t="b">
        <v>1</v>
      </c>
      <c r="G63" s="34" t="s">
        <v>599</v>
      </c>
      <c r="H63" s="39" t="s">
        <v>385</v>
      </c>
      <c r="I63">
        <v>0</v>
      </c>
      <c r="J63" t="b">
        <v>0</v>
      </c>
      <c r="K63" s="13" t="s">
        <v>215</v>
      </c>
      <c r="M63" t="s">
        <v>217</v>
      </c>
      <c r="N63" t="s">
        <v>218</v>
      </c>
      <c r="O63" t="b">
        <v>0</v>
      </c>
      <c r="P63">
        <v>0</v>
      </c>
      <c r="Q63" t="b">
        <v>0</v>
      </c>
      <c r="R63" s="12">
        <v>65</v>
      </c>
      <c r="S63" s="12">
        <v>64</v>
      </c>
      <c r="T63">
        <v>0</v>
      </c>
      <c r="U63">
        <v>0</v>
      </c>
      <c r="V63">
        <v>0</v>
      </c>
      <c r="W63">
        <v>0</v>
      </c>
      <c r="X63" s="12">
        <v>65</v>
      </c>
      <c r="Y63">
        <v>0</v>
      </c>
      <c r="Z63" t="b">
        <v>0</v>
      </c>
      <c r="AB63" s="14" t="s">
        <v>598</v>
      </c>
      <c r="AC63">
        <v>1</v>
      </c>
      <c r="AD63">
        <v>0</v>
      </c>
      <c r="AE63" t="b">
        <v>0</v>
      </c>
      <c r="AF63">
        <v>0</v>
      </c>
      <c r="AG63">
        <v>1</v>
      </c>
      <c r="AH63" s="15" t="s">
        <v>38</v>
      </c>
      <c r="AI63" t="b">
        <v>0</v>
      </c>
      <c r="AJ63">
        <v>0</v>
      </c>
      <c r="AL63" t="str">
        <f t="shared" si="0"/>
        <v>('018a1d1e-ef5a-40e6-88e7-6540c1f86a70','2025-05-31 08:27:43.267332+00','866dabc4-6501-44d2-a0e5-65da9c45a46e','2025-05-31 08:27:43.267332+00','866dabc4-6501-44d2-a0e5-65da9c45a46e',TRUE,'003','2024-09-21 16:24:00+02',0,FALSE,'Unit1','','2022-04-01 08:27:00+00','2022-04-02 08:27:00+00',FALSE,0,FALSE,65,64,0,0,0,0,65,0,FALSE,'','03625504-b150-46f3-b9e6-d572f5b8b776',1,0,FALSE,0,1,'4dbc7800-d343-4d6e-ab27-a7706b0cd126',FALSE,0),</v>
      </c>
    </row>
    <row r="64" spans="1:38" x14ac:dyDescent="0.25">
      <c r="A64" t="s">
        <v>591</v>
      </c>
      <c r="B64" t="s">
        <v>213</v>
      </c>
      <c r="C64" t="s">
        <v>0</v>
      </c>
      <c r="D64" t="s">
        <v>213</v>
      </c>
      <c r="E64" t="s">
        <v>0</v>
      </c>
      <c r="F64" t="b">
        <v>1</v>
      </c>
      <c r="G64" s="34" t="s">
        <v>599</v>
      </c>
      <c r="H64" s="39" t="s">
        <v>386</v>
      </c>
      <c r="I64" s="37">
        <v>0</v>
      </c>
      <c r="J64" s="37" t="b">
        <v>0</v>
      </c>
      <c r="K64" s="37" t="s">
        <v>215</v>
      </c>
      <c r="L64" s="37"/>
      <c r="M64" s="37" t="s">
        <v>217</v>
      </c>
      <c r="N64" s="37" t="s">
        <v>218</v>
      </c>
      <c r="O64" s="37" t="b">
        <v>0</v>
      </c>
      <c r="P64" s="37">
        <v>0</v>
      </c>
      <c r="Q64" s="37" t="b">
        <v>0</v>
      </c>
      <c r="R64" s="12">
        <v>65</v>
      </c>
      <c r="S64" s="12">
        <v>64</v>
      </c>
      <c r="T64">
        <v>0</v>
      </c>
      <c r="U64">
        <v>0</v>
      </c>
      <c r="V64">
        <v>0</v>
      </c>
      <c r="W64">
        <v>0</v>
      </c>
      <c r="X64" s="12">
        <v>65</v>
      </c>
      <c r="Y64" s="37">
        <v>0</v>
      </c>
      <c r="Z64" s="37" t="b">
        <v>0</v>
      </c>
      <c r="AA64" s="37"/>
      <c r="AB64" s="14" t="s">
        <v>598</v>
      </c>
      <c r="AC64" s="37">
        <v>1</v>
      </c>
      <c r="AD64" s="37">
        <v>0</v>
      </c>
      <c r="AE64" s="37" t="b">
        <v>0</v>
      </c>
      <c r="AF64" s="37">
        <v>0</v>
      </c>
      <c r="AG64" s="37">
        <v>1</v>
      </c>
      <c r="AH64" s="37" t="s">
        <v>38</v>
      </c>
      <c r="AI64" s="37" t="b">
        <v>0</v>
      </c>
      <c r="AJ64" s="37">
        <v>0</v>
      </c>
      <c r="AL64" t="str">
        <f t="shared" si="0"/>
        <v>('3a1e9f3d-6eff-41b8-b48e-afed057c8390','2025-05-31 08:27:43.267332+00','866dabc4-6501-44d2-a0e5-65da9c45a46e','2025-05-31 08:27:43.267332+00','866dabc4-6501-44d2-a0e5-65da9c45a46e',TRUE,'003','2024-09-24 16:24:00+03',0,FALSE,'Unit1','','2022-04-01 08:27:00+00','2022-04-02 08:27:00+00',FALSE,0,FALSE,65,64,0,0,0,0,65,0,FALSE,'','03625504-b150-46f3-b9e6-d572f5b8b776',1,0,FALSE,0,1,'4dbc7800-d343-4d6e-ab27-a7706b0cd126',FALSE,0),</v>
      </c>
    </row>
    <row r="65" spans="1:38" x14ac:dyDescent="0.25">
      <c r="A65" t="s">
        <v>592</v>
      </c>
      <c r="B65" t="s">
        <v>213</v>
      </c>
      <c r="C65" t="s">
        <v>0</v>
      </c>
      <c r="D65" t="s">
        <v>213</v>
      </c>
      <c r="E65" t="s">
        <v>0</v>
      </c>
      <c r="F65" t="b">
        <v>1</v>
      </c>
      <c r="G65" s="34" t="s">
        <v>599</v>
      </c>
      <c r="H65" s="39" t="s">
        <v>380</v>
      </c>
      <c r="I65">
        <v>0</v>
      </c>
      <c r="J65" t="b">
        <v>0</v>
      </c>
      <c r="K65" s="13" t="s">
        <v>215</v>
      </c>
      <c r="M65" t="s">
        <v>217</v>
      </c>
      <c r="N65" t="s">
        <v>218</v>
      </c>
      <c r="O65" t="b">
        <v>0</v>
      </c>
      <c r="P65">
        <v>0</v>
      </c>
      <c r="Q65" t="b">
        <v>0</v>
      </c>
      <c r="R65" s="12">
        <v>65</v>
      </c>
      <c r="S65" s="12">
        <v>64</v>
      </c>
      <c r="T65">
        <v>0</v>
      </c>
      <c r="U65">
        <v>0</v>
      </c>
      <c r="V65">
        <v>0</v>
      </c>
      <c r="W65">
        <v>0</v>
      </c>
      <c r="X65" s="12">
        <v>65</v>
      </c>
      <c r="Y65">
        <v>0</v>
      </c>
      <c r="Z65" t="b">
        <v>0</v>
      </c>
      <c r="AB65" s="14" t="s">
        <v>598</v>
      </c>
      <c r="AC65">
        <v>1</v>
      </c>
      <c r="AD65">
        <v>0</v>
      </c>
      <c r="AE65" t="b">
        <v>0</v>
      </c>
      <c r="AF65">
        <v>0</v>
      </c>
      <c r="AG65">
        <v>1</v>
      </c>
      <c r="AH65" s="15" t="s">
        <v>38</v>
      </c>
      <c r="AI65" t="b">
        <v>0</v>
      </c>
      <c r="AJ65">
        <v>0</v>
      </c>
      <c r="AL65" t="str">
        <f t="shared" si="0"/>
        <v>('2dd0b397-cc78-415c-8582-0619dfeba008','2025-05-31 08:27:43.267332+00','866dabc4-6501-44d2-a0e5-65da9c45a46e','2025-05-31 08:27:43.267332+00','866dabc4-6501-44d2-a0e5-65da9c45a46e',TRUE,'003','2024-09-26 16:24:00+03',0,FALSE,'Unit1','','2022-04-01 08:27:00+00','2022-04-02 08:27:00+00',FALSE,0,FALSE,65,64,0,0,0,0,65,0,FALSE,'','03625504-b150-46f3-b9e6-d572f5b8b776',1,0,FALSE,0,1,'4dbc7800-d343-4d6e-ab27-a7706b0cd126',FALSE,0),</v>
      </c>
    </row>
    <row r="66" spans="1:38" x14ac:dyDescent="0.25">
      <c r="A66" t="s">
        <v>593</v>
      </c>
      <c r="B66" t="s">
        <v>213</v>
      </c>
      <c r="C66" t="s">
        <v>0</v>
      </c>
      <c r="D66" t="s">
        <v>213</v>
      </c>
      <c r="E66" t="s">
        <v>0</v>
      </c>
      <c r="F66" t="b">
        <v>1</v>
      </c>
      <c r="G66" s="34" t="s">
        <v>599</v>
      </c>
      <c r="H66" s="39" t="s">
        <v>387</v>
      </c>
      <c r="I66">
        <v>0</v>
      </c>
      <c r="J66" t="b">
        <v>0</v>
      </c>
      <c r="K66" s="13" t="s">
        <v>215</v>
      </c>
      <c r="M66" t="s">
        <v>217</v>
      </c>
      <c r="N66" t="s">
        <v>218</v>
      </c>
      <c r="O66" t="b">
        <v>0</v>
      </c>
      <c r="P66">
        <v>0</v>
      </c>
      <c r="Q66" t="b">
        <v>0</v>
      </c>
      <c r="R66" s="12">
        <v>65</v>
      </c>
      <c r="S66" s="12">
        <v>64</v>
      </c>
      <c r="T66">
        <v>0</v>
      </c>
      <c r="U66">
        <v>0</v>
      </c>
      <c r="V66">
        <v>0</v>
      </c>
      <c r="W66">
        <v>0</v>
      </c>
      <c r="X66" s="12">
        <v>65</v>
      </c>
      <c r="Y66">
        <v>0</v>
      </c>
      <c r="Z66" t="b">
        <v>0</v>
      </c>
      <c r="AB66" s="14" t="s">
        <v>598</v>
      </c>
      <c r="AC66">
        <v>1</v>
      </c>
      <c r="AD66">
        <v>0</v>
      </c>
      <c r="AE66" t="b">
        <v>0</v>
      </c>
      <c r="AF66">
        <v>0</v>
      </c>
      <c r="AG66">
        <v>1</v>
      </c>
      <c r="AH66" s="15" t="s">
        <v>38</v>
      </c>
      <c r="AI66" t="b">
        <v>0</v>
      </c>
      <c r="AJ66">
        <v>0</v>
      </c>
      <c r="AL66" t="str">
        <f t="shared" si="0"/>
        <v>('9449cb47-a8b9-40c4-a438-3dbcd1b17b49','2025-05-31 08:27:43.267332+00','866dabc4-6501-44d2-a0e5-65da9c45a46e','2025-05-31 08:27:43.267332+00','866dabc4-6501-44d2-a0e5-65da9c45a46e',TRUE,'003','2024-09-28 16:24:00+03',0,FALSE,'Unit1','','2022-04-01 08:27:00+00','2022-04-02 08:27:00+00',FALSE,0,FALSE,65,64,0,0,0,0,65,0,FALSE,'','03625504-b150-46f3-b9e6-d572f5b8b776',1,0,FALSE,0,1,'4dbc7800-d343-4d6e-ab27-a7706b0cd126',FALSE,0),</v>
      </c>
    </row>
    <row r="67" spans="1:38" x14ac:dyDescent="0.25">
      <c r="A67" t="s">
        <v>594</v>
      </c>
      <c r="B67" t="s">
        <v>213</v>
      </c>
      <c r="C67" t="s">
        <v>0</v>
      </c>
      <c r="D67" t="s">
        <v>213</v>
      </c>
      <c r="E67" t="s">
        <v>0</v>
      </c>
      <c r="F67" t="b">
        <v>1</v>
      </c>
      <c r="G67" s="34" t="s">
        <v>599</v>
      </c>
      <c r="H67" s="39" t="s">
        <v>388</v>
      </c>
      <c r="I67">
        <v>0</v>
      </c>
      <c r="J67" t="b">
        <v>0</v>
      </c>
      <c r="K67" s="13" t="s">
        <v>215</v>
      </c>
      <c r="M67" t="s">
        <v>217</v>
      </c>
      <c r="N67" t="s">
        <v>218</v>
      </c>
      <c r="O67" t="b">
        <v>0</v>
      </c>
      <c r="P67">
        <v>0</v>
      </c>
      <c r="Q67" t="b">
        <v>0</v>
      </c>
      <c r="R67" s="12">
        <v>65</v>
      </c>
      <c r="S67" s="12">
        <v>64</v>
      </c>
      <c r="T67">
        <v>0</v>
      </c>
      <c r="U67">
        <v>0</v>
      </c>
      <c r="V67">
        <v>0</v>
      </c>
      <c r="W67">
        <v>0</v>
      </c>
      <c r="X67" s="12">
        <v>65</v>
      </c>
      <c r="Y67">
        <v>0</v>
      </c>
      <c r="Z67" t="b">
        <v>0</v>
      </c>
      <c r="AB67" s="14" t="s">
        <v>598</v>
      </c>
      <c r="AC67">
        <v>1</v>
      </c>
      <c r="AD67">
        <v>0</v>
      </c>
      <c r="AE67" t="b">
        <v>0</v>
      </c>
      <c r="AF67">
        <v>0</v>
      </c>
      <c r="AG67">
        <v>1</v>
      </c>
      <c r="AH67" s="15" t="s">
        <v>38</v>
      </c>
      <c r="AI67" t="b">
        <v>0</v>
      </c>
      <c r="AJ67">
        <v>0</v>
      </c>
      <c r="AL67" t="str">
        <f t="shared" ref="AL67:AL70" si="1">_xlfn.CONCAT("('",A68,"','",B68,"','",C68,"','",D68,"','",E68,"',",F68,",'",G68,"','",H68,"',",I68,",",J68,",'",K68,"','",L68,"','",M68,"','",N68,"',",O68,",",P68,",",Q68,",",R68,",",S68,",",T68,",",U68,",",V68,",",W68,",",X68,",",Y68,",",Z68,",'",AA68,"','",AB68,"',",AC68,",",AD68,",",AE68,",",AF68,",",AG68,",'",AH68,"',",AI68,",",AJ68,"),")</f>
        <v>('0d417f6c-65f9-4df0-baa0-a9fd7b8d7aed','2025-05-31 08:27:43.267332+00','866dabc4-6501-44d2-a0e5-65da9c45a46e','2025-05-31 08:27:43.267332+00','866dabc4-6501-44d2-a0e5-65da9c45a46e',TRUE,'003','2024-10-01 16:24:00+04',0,FALSE,'Unit1','','2022-04-01 08:27:00+00','2022-04-02 08:27:00+00',FALSE,0,FALSE,65,64,0,0,0,0,65,0,FALSE,'','03625504-b150-46f3-b9e6-d572f5b8b776',1,0,FALSE,0,1,'4dbc7800-d343-4d6e-ab27-a7706b0cd126',FALSE,0),</v>
      </c>
    </row>
    <row r="68" spans="1:38" x14ac:dyDescent="0.25">
      <c r="A68" t="s">
        <v>595</v>
      </c>
      <c r="B68" t="s">
        <v>213</v>
      </c>
      <c r="C68" t="s">
        <v>0</v>
      </c>
      <c r="D68" t="s">
        <v>213</v>
      </c>
      <c r="E68" t="s">
        <v>0</v>
      </c>
      <c r="F68" t="b">
        <v>1</v>
      </c>
      <c r="G68" s="34" t="s">
        <v>599</v>
      </c>
      <c r="H68" s="39" t="s">
        <v>389</v>
      </c>
      <c r="I68">
        <v>0</v>
      </c>
      <c r="J68" t="b">
        <v>0</v>
      </c>
      <c r="K68" s="13" t="s">
        <v>215</v>
      </c>
      <c r="M68" t="s">
        <v>217</v>
      </c>
      <c r="N68" t="s">
        <v>218</v>
      </c>
      <c r="O68" t="b">
        <v>0</v>
      </c>
      <c r="P68">
        <v>0</v>
      </c>
      <c r="Q68" t="b">
        <v>0</v>
      </c>
      <c r="R68" s="12">
        <v>65</v>
      </c>
      <c r="S68" s="12">
        <v>64</v>
      </c>
      <c r="T68">
        <v>0</v>
      </c>
      <c r="U68">
        <v>0</v>
      </c>
      <c r="V68">
        <v>0</v>
      </c>
      <c r="W68">
        <v>0</v>
      </c>
      <c r="X68" s="12">
        <v>65</v>
      </c>
      <c r="Y68">
        <v>0</v>
      </c>
      <c r="Z68" t="b">
        <v>0</v>
      </c>
      <c r="AB68" s="14" t="s">
        <v>598</v>
      </c>
      <c r="AC68">
        <v>1</v>
      </c>
      <c r="AD68">
        <v>0</v>
      </c>
      <c r="AE68" t="b">
        <v>0</v>
      </c>
      <c r="AF68">
        <v>0</v>
      </c>
      <c r="AG68">
        <v>1</v>
      </c>
      <c r="AH68" s="15" t="s">
        <v>38</v>
      </c>
      <c r="AI68" t="b">
        <v>0</v>
      </c>
      <c r="AJ68">
        <v>0</v>
      </c>
      <c r="AL68" t="str">
        <f t="shared" si="1"/>
        <v>('4b59ee2d-1080-4631-a7d6-d961434448da','2025-05-31 08:27:43.267332+00','866dabc4-6501-44d2-a0e5-65da9c45a46e','2025-05-31 08:27:43.267332+00','866dabc4-6501-44d2-a0e5-65da9c45a46e',TRUE,'003','2024-10-03 16:24:00+04',0,FALSE,'Unit1','','2022-04-01 08:27:00+00','2022-04-02 08:27:00+00',FALSE,0,FALSE,65,64,0,0,0,0,65,0,FALSE,'','03625504-b150-46f3-b9e6-d572f5b8b776',1,0,FALSE,0,1,'4dbc7800-d343-4d6e-ab27-a7706b0cd126',FALSE,0),</v>
      </c>
    </row>
    <row r="69" spans="1:38" x14ac:dyDescent="0.25">
      <c r="A69" t="s">
        <v>596</v>
      </c>
      <c r="B69" t="s">
        <v>213</v>
      </c>
      <c r="C69" t="s">
        <v>0</v>
      </c>
      <c r="D69" t="s">
        <v>213</v>
      </c>
      <c r="E69" t="s">
        <v>0</v>
      </c>
      <c r="F69" t="b">
        <v>1</v>
      </c>
      <c r="G69" s="34" t="s">
        <v>599</v>
      </c>
      <c r="H69" s="39" t="s">
        <v>390</v>
      </c>
      <c r="I69" s="37">
        <v>0</v>
      </c>
      <c r="J69" s="37" t="b">
        <v>0</v>
      </c>
      <c r="K69" s="37" t="s">
        <v>215</v>
      </c>
      <c r="L69" s="37"/>
      <c r="M69" s="37" t="s">
        <v>217</v>
      </c>
      <c r="N69" s="37" t="s">
        <v>218</v>
      </c>
      <c r="O69" s="37" t="b">
        <v>0</v>
      </c>
      <c r="P69" s="37">
        <v>0</v>
      </c>
      <c r="Q69" s="37" t="b">
        <v>0</v>
      </c>
      <c r="R69" s="12">
        <v>65</v>
      </c>
      <c r="S69" s="12">
        <v>64</v>
      </c>
      <c r="T69">
        <v>0</v>
      </c>
      <c r="U69">
        <v>0</v>
      </c>
      <c r="V69">
        <v>0</v>
      </c>
      <c r="W69">
        <v>0</v>
      </c>
      <c r="X69" s="12">
        <v>65</v>
      </c>
      <c r="Y69" s="37">
        <v>0</v>
      </c>
      <c r="Z69" s="37" t="b">
        <v>0</v>
      </c>
      <c r="AA69" s="37"/>
      <c r="AB69" s="14" t="s">
        <v>598</v>
      </c>
      <c r="AC69" s="37">
        <v>1</v>
      </c>
      <c r="AD69" s="37">
        <v>0</v>
      </c>
      <c r="AE69" s="37" t="b">
        <v>0</v>
      </c>
      <c r="AF69" s="37">
        <v>0</v>
      </c>
      <c r="AG69" s="37">
        <v>1</v>
      </c>
      <c r="AH69" s="37" t="s">
        <v>38</v>
      </c>
      <c r="AI69" s="37" t="b">
        <v>0</v>
      </c>
      <c r="AJ69" s="37">
        <v>0</v>
      </c>
      <c r="AL69" t="str">
        <f t="shared" si="1"/>
        <v>('2a7b8453-cec4-4c41-bb47-d12678e6b6e4','2025-05-31 08:27:43.267332+00','866dabc4-6501-44d2-a0e5-65da9c45a46e','2025-05-31 08:27:43.267332+00','866dabc4-6501-44d2-a0e5-65da9c45a46e',TRUE,'003','2024-10-05 16:24:00+04',0,FALSE,'Unit1','','2022-04-01 08:27:00+00','2022-04-02 08:27:00+00',FALSE,0,FALSE,65,64,0,0,0,0,65,0,FALSE,'','03625504-b150-46f3-b9e6-d572f5b8b776',1,0,FALSE,0,1,'4dbc7800-d343-4d6e-ab27-a7706b0cd126',FALSE,0),</v>
      </c>
    </row>
    <row r="70" spans="1:38" x14ac:dyDescent="0.25">
      <c r="A70" t="s">
        <v>597</v>
      </c>
      <c r="B70" t="s">
        <v>213</v>
      </c>
      <c r="C70" t="s">
        <v>0</v>
      </c>
      <c r="D70" t="s">
        <v>213</v>
      </c>
      <c r="E70" t="s">
        <v>0</v>
      </c>
      <c r="F70" t="b">
        <v>1</v>
      </c>
      <c r="G70" s="34" t="s">
        <v>599</v>
      </c>
      <c r="H70" s="39" t="s">
        <v>391</v>
      </c>
      <c r="I70">
        <v>0</v>
      </c>
      <c r="J70" t="b">
        <v>0</v>
      </c>
      <c r="K70" s="13" t="s">
        <v>215</v>
      </c>
      <c r="M70" t="s">
        <v>217</v>
      </c>
      <c r="N70" t="s">
        <v>218</v>
      </c>
      <c r="O70" t="b">
        <v>0</v>
      </c>
      <c r="P70">
        <v>0</v>
      </c>
      <c r="Q70" t="b">
        <v>0</v>
      </c>
      <c r="R70" s="12">
        <v>65</v>
      </c>
      <c r="S70" s="12">
        <v>64</v>
      </c>
      <c r="T70">
        <v>0</v>
      </c>
      <c r="U70">
        <v>0</v>
      </c>
      <c r="V70">
        <v>0</v>
      </c>
      <c r="W70">
        <v>0</v>
      </c>
      <c r="X70" s="12">
        <v>65</v>
      </c>
      <c r="Y70">
        <v>0</v>
      </c>
      <c r="Z70" t="b">
        <v>0</v>
      </c>
      <c r="AB70" s="14" t="s">
        <v>598</v>
      </c>
      <c r="AC70">
        <v>1</v>
      </c>
      <c r="AD70">
        <v>0</v>
      </c>
      <c r="AE70" t="b">
        <v>0</v>
      </c>
      <c r="AF70">
        <v>0</v>
      </c>
      <c r="AG70">
        <v>1</v>
      </c>
      <c r="AH70" s="15" t="s">
        <v>38</v>
      </c>
      <c r="AI70" t="b">
        <v>0</v>
      </c>
      <c r="AJ70">
        <v>0</v>
      </c>
      <c r="AL70" t="str">
        <f t="shared" si="1"/>
        <v>('','','','','',,'','',,,'','','','',,,,,,,,,,,,,'','',,,,,,'',,),</v>
      </c>
    </row>
    <row r="74" spans="1:38" x14ac:dyDescent="0.25">
      <c r="AL74" t="s">
        <v>600</v>
      </c>
    </row>
    <row r="75" spans="1:38" x14ac:dyDescent="0.25">
      <c r="AL75" t="s">
        <v>601</v>
      </c>
    </row>
    <row r="76" spans="1:38" x14ac:dyDescent="0.25">
      <c r="AL76" t="s">
        <v>602</v>
      </c>
    </row>
    <row r="77" spans="1:38" x14ac:dyDescent="0.25">
      <c r="AL77" t="s">
        <v>603</v>
      </c>
    </row>
    <row r="78" spans="1:38" x14ac:dyDescent="0.25">
      <c r="AL78" t="s">
        <v>604</v>
      </c>
    </row>
    <row r="79" spans="1:38" x14ac:dyDescent="0.25">
      <c r="AL79" t="s">
        <v>605</v>
      </c>
    </row>
    <row r="80" spans="1:38" x14ac:dyDescent="0.25">
      <c r="AL80" t="s">
        <v>606</v>
      </c>
    </row>
    <row r="81" spans="38:38" x14ac:dyDescent="0.25">
      <c r="AL81" t="s">
        <v>607</v>
      </c>
    </row>
    <row r="82" spans="38:38" x14ac:dyDescent="0.25">
      <c r="AL82" t="s">
        <v>608</v>
      </c>
    </row>
    <row r="83" spans="38:38" x14ac:dyDescent="0.25">
      <c r="AL83" t="s">
        <v>609</v>
      </c>
    </row>
    <row r="84" spans="38:38" x14ac:dyDescent="0.25">
      <c r="AL84" t="s">
        <v>610</v>
      </c>
    </row>
    <row r="85" spans="38:38" x14ac:dyDescent="0.25">
      <c r="AL85" t="s">
        <v>611</v>
      </c>
    </row>
    <row r="86" spans="38:38" x14ac:dyDescent="0.25">
      <c r="AL86" t="s">
        <v>612</v>
      </c>
    </row>
    <row r="87" spans="38:38" x14ac:dyDescent="0.25">
      <c r="AL87" t="s">
        <v>613</v>
      </c>
    </row>
    <row r="88" spans="38:38" x14ac:dyDescent="0.25">
      <c r="AL88" t="s">
        <v>614</v>
      </c>
    </row>
    <row r="89" spans="38:38" x14ac:dyDescent="0.25">
      <c r="AL89" t="s">
        <v>615</v>
      </c>
    </row>
    <row r="90" spans="38:38" x14ac:dyDescent="0.25">
      <c r="AL90" t="s">
        <v>616</v>
      </c>
    </row>
    <row r="91" spans="38:38" x14ac:dyDescent="0.25">
      <c r="AL91" t="s">
        <v>617</v>
      </c>
    </row>
    <row r="92" spans="38:38" x14ac:dyDescent="0.25">
      <c r="AL92" t="s">
        <v>618</v>
      </c>
    </row>
    <row r="93" spans="38:38" x14ac:dyDescent="0.25">
      <c r="AL93" t="s">
        <v>619</v>
      </c>
    </row>
    <row r="94" spans="38:38" x14ac:dyDescent="0.25">
      <c r="AL94" t="s">
        <v>620</v>
      </c>
    </row>
    <row r="95" spans="38:38" x14ac:dyDescent="0.25">
      <c r="AL95" t="s">
        <v>621</v>
      </c>
    </row>
    <row r="96" spans="38:38" x14ac:dyDescent="0.25">
      <c r="AL96" t="s">
        <v>622</v>
      </c>
    </row>
    <row r="97" spans="38:38" x14ac:dyDescent="0.25">
      <c r="AL97" t="s">
        <v>623</v>
      </c>
    </row>
    <row r="98" spans="38:38" x14ac:dyDescent="0.25">
      <c r="AL98" t="s">
        <v>624</v>
      </c>
    </row>
    <row r="99" spans="38:38" x14ac:dyDescent="0.25">
      <c r="AL99" t="s">
        <v>625</v>
      </c>
    </row>
    <row r="100" spans="38:38" x14ac:dyDescent="0.25">
      <c r="AL100" t="s">
        <v>626</v>
      </c>
    </row>
    <row r="101" spans="38:38" x14ac:dyDescent="0.25">
      <c r="AL101" t="s">
        <v>627</v>
      </c>
    </row>
    <row r="102" spans="38:38" x14ac:dyDescent="0.25">
      <c r="AL102" t="s">
        <v>628</v>
      </c>
    </row>
    <row r="103" spans="38:38" x14ac:dyDescent="0.25">
      <c r="AL103" t="s">
        <v>629</v>
      </c>
    </row>
    <row r="104" spans="38:38" x14ac:dyDescent="0.25">
      <c r="AL104" t="s">
        <v>630</v>
      </c>
    </row>
    <row r="105" spans="38:38" x14ac:dyDescent="0.25">
      <c r="AL105" t="s">
        <v>631</v>
      </c>
    </row>
    <row r="106" spans="38:38" x14ac:dyDescent="0.25">
      <c r="AL106" t="s">
        <v>632</v>
      </c>
    </row>
    <row r="107" spans="38:38" x14ac:dyDescent="0.25">
      <c r="AL107" t="s">
        <v>633</v>
      </c>
    </row>
    <row r="108" spans="38:38" x14ac:dyDescent="0.25">
      <c r="AL108" t="s">
        <v>634</v>
      </c>
    </row>
    <row r="109" spans="38:38" x14ac:dyDescent="0.25">
      <c r="AL109" t="s">
        <v>635</v>
      </c>
    </row>
    <row r="110" spans="38:38" x14ac:dyDescent="0.25">
      <c r="AL110" t="s">
        <v>636</v>
      </c>
    </row>
    <row r="111" spans="38:38" x14ac:dyDescent="0.25">
      <c r="AL111" t="s">
        <v>637</v>
      </c>
    </row>
    <row r="112" spans="38:38" x14ac:dyDescent="0.25">
      <c r="AL112" t="s">
        <v>638</v>
      </c>
    </row>
    <row r="113" spans="38:38" x14ac:dyDescent="0.25">
      <c r="AL113" t="s">
        <v>639</v>
      </c>
    </row>
    <row r="114" spans="38:38" x14ac:dyDescent="0.25">
      <c r="AL114" t="s">
        <v>640</v>
      </c>
    </row>
    <row r="115" spans="38:38" x14ac:dyDescent="0.25">
      <c r="AL115" t="s">
        <v>641</v>
      </c>
    </row>
    <row r="116" spans="38:38" x14ac:dyDescent="0.25">
      <c r="AL116" t="s">
        <v>642</v>
      </c>
    </row>
    <row r="117" spans="38:38" x14ac:dyDescent="0.25">
      <c r="AL117" t="s">
        <v>643</v>
      </c>
    </row>
    <row r="118" spans="38:38" x14ac:dyDescent="0.25">
      <c r="AL118" t="s">
        <v>644</v>
      </c>
    </row>
    <row r="119" spans="38:38" x14ac:dyDescent="0.25">
      <c r="AL119" t="s">
        <v>645</v>
      </c>
    </row>
    <row r="120" spans="38:38" x14ac:dyDescent="0.25">
      <c r="AL120" t="s">
        <v>646</v>
      </c>
    </row>
    <row r="121" spans="38:38" x14ac:dyDescent="0.25">
      <c r="AL121" t="s">
        <v>647</v>
      </c>
    </row>
    <row r="122" spans="38:38" x14ac:dyDescent="0.25">
      <c r="AL122" t="s">
        <v>648</v>
      </c>
    </row>
    <row r="123" spans="38:38" x14ac:dyDescent="0.25">
      <c r="AL123" t="s">
        <v>649</v>
      </c>
    </row>
    <row r="124" spans="38:38" x14ac:dyDescent="0.25">
      <c r="AL124" t="s">
        <v>650</v>
      </c>
    </row>
    <row r="125" spans="38:38" x14ac:dyDescent="0.25">
      <c r="AL125" t="s">
        <v>651</v>
      </c>
    </row>
    <row r="126" spans="38:38" x14ac:dyDescent="0.25">
      <c r="AL126" t="s">
        <v>652</v>
      </c>
    </row>
    <row r="127" spans="38:38" x14ac:dyDescent="0.25">
      <c r="AL127" t="s">
        <v>653</v>
      </c>
    </row>
    <row r="128" spans="38:38" x14ac:dyDescent="0.25">
      <c r="AL128" t="s">
        <v>654</v>
      </c>
    </row>
    <row r="129" spans="38:38" x14ac:dyDescent="0.25">
      <c r="AL129" t="s">
        <v>655</v>
      </c>
    </row>
    <row r="130" spans="38:38" x14ac:dyDescent="0.25">
      <c r="AL130" t="s">
        <v>656</v>
      </c>
    </row>
    <row r="131" spans="38:38" x14ac:dyDescent="0.25">
      <c r="AL131" t="s">
        <v>657</v>
      </c>
    </row>
    <row r="132" spans="38:38" x14ac:dyDescent="0.25">
      <c r="AL132" t="s">
        <v>658</v>
      </c>
    </row>
    <row r="133" spans="38:38" x14ac:dyDescent="0.25">
      <c r="AL133" t="s">
        <v>659</v>
      </c>
    </row>
    <row r="134" spans="38:38" x14ac:dyDescent="0.25">
      <c r="AL134" t="s">
        <v>660</v>
      </c>
    </row>
    <row r="135" spans="38:38" x14ac:dyDescent="0.25">
      <c r="AL135" t="s">
        <v>661</v>
      </c>
    </row>
    <row r="136" spans="38:38" x14ac:dyDescent="0.25">
      <c r="AL136" t="s">
        <v>662</v>
      </c>
    </row>
    <row r="137" spans="38:38" x14ac:dyDescent="0.25">
      <c r="AL137" t="s">
        <v>663</v>
      </c>
    </row>
    <row r="138" spans="38:38" x14ac:dyDescent="0.25">
      <c r="AL138" t="s">
        <v>664</v>
      </c>
    </row>
    <row r="139" spans="38:38" x14ac:dyDescent="0.25">
      <c r="AL139" t="s">
        <v>665</v>
      </c>
    </row>
    <row r="140" spans="38:38" x14ac:dyDescent="0.25">
      <c r="AL140" t="s">
        <v>666</v>
      </c>
    </row>
    <row r="141" spans="38:38" x14ac:dyDescent="0.25">
      <c r="AL141" t="s">
        <v>667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15C9-7ABA-4B81-84C0-8DF2EFB9D562}">
  <sheetPr>
    <tabColor theme="7" tint="0.39997558519241921"/>
  </sheetPr>
  <dimension ref="A1:P145"/>
  <sheetViews>
    <sheetView topLeftCell="D19" workbookViewId="0">
      <selection activeCell="G4" sqref="G4:G71"/>
    </sheetView>
  </sheetViews>
  <sheetFormatPr defaultRowHeight="15" x14ac:dyDescent="0.25"/>
  <cols>
    <col min="1" max="1" width="38.140625" style="16" bestFit="1" customWidth="1"/>
    <col min="2" max="2" width="29.42578125" style="16" customWidth="1"/>
    <col min="3" max="3" width="36.7109375" style="16" bestFit="1" customWidth="1"/>
    <col min="4" max="4" width="28.140625" bestFit="1" customWidth="1"/>
    <col min="5" max="5" width="36.7109375" bestFit="1" customWidth="1"/>
    <col min="6" max="6" width="10.140625" bestFit="1" customWidth="1"/>
    <col min="7" max="7" width="21.42578125" style="1" bestFit="1" customWidth="1"/>
    <col min="8" max="8" width="11.28515625" style="1" bestFit="1" customWidth="1"/>
    <col min="9" max="9" width="12" bestFit="1" customWidth="1"/>
    <col min="10" max="10" width="11.28515625" bestFit="1" customWidth="1"/>
    <col min="11" max="11" width="7.5703125" style="17" bestFit="1" customWidth="1"/>
    <col min="12" max="12" width="21.7109375" bestFit="1" customWidth="1"/>
    <col min="13" max="13" width="215.7109375" bestFit="1" customWidth="1"/>
    <col min="15" max="15" width="21.85546875" customWidth="1"/>
    <col min="16" max="16" width="29.42578125" customWidth="1"/>
  </cols>
  <sheetData>
    <row r="1" spans="1:16" ht="56.25" customHeight="1" x14ac:dyDescent="0.25">
      <c r="A1" s="16" t="s">
        <v>221</v>
      </c>
      <c r="B1" s="16" t="s">
        <v>178</v>
      </c>
      <c r="C1" s="16" t="s">
        <v>179</v>
      </c>
      <c r="D1" t="s">
        <v>180</v>
      </c>
      <c r="E1" t="s">
        <v>181</v>
      </c>
      <c r="F1" t="s">
        <v>182</v>
      </c>
      <c r="G1" s="1" t="s">
        <v>222</v>
      </c>
      <c r="H1" s="1" t="s">
        <v>183</v>
      </c>
      <c r="I1" t="s">
        <v>223</v>
      </c>
      <c r="J1" t="s">
        <v>224</v>
      </c>
      <c r="K1" s="17" t="s">
        <v>225</v>
      </c>
      <c r="L1" t="s">
        <v>226</v>
      </c>
    </row>
    <row r="2" spans="1:16" ht="63.75" customHeight="1" x14ac:dyDescent="0.25">
      <c r="G2" s="28"/>
      <c r="H2" s="28"/>
    </row>
    <row r="3" spans="1:16" x14ac:dyDescent="0.25">
      <c r="G3" s="28"/>
      <c r="H3" s="28"/>
    </row>
    <row r="4" spans="1:16" x14ac:dyDescent="0.25">
      <c r="A4" t="s">
        <v>530</v>
      </c>
      <c r="B4" s="31" t="s">
        <v>323</v>
      </c>
      <c r="C4" s="18" t="s">
        <v>0</v>
      </c>
      <c r="D4" s="31" t="s">
        <v>323</v>
      </c>
      <c r="E4" s="19" t="s">
        <v>0</v>
      </c>
      <c r="F4" s="20" t="b">
        <v>1</v>
      </c>
      <c r="G4" s="31" t="s">
        <v>323</v>
      </c>
      <c r="H4" s="29" t="s">
        <v>599</v>
      </c>
      <c r="I4" s="20">
        <v>-2</v>
      </c>
      <c r="J4">
        <v>2.5</v>
      </c>
      <c r="L4" t="b">
        <v>0</v>
      </c>
      <c r="M4" t="str">
        <f>_xlfn.CONCAT("('",A4,"','",B4,"','",C4,"','",D4,"','",E4,"',",F4,",'",G4,"','",H4,"',",I4,",",J4,",",L4,"),")</f>
        <v>('aec14bb9-ee40-49f6-9f85-e0f707dd3945','2024-01-01','866dabc4-6501-44d2-a0e5-65da9c45a46e','2024-01-01','866dabc4-6501-44d2-a0e5-65da9c45a46e',TRUE,'2024-01-01','003',-2,2.5,FALSE),</v>
      </c>
      <c r="O4" s="26" t="s">
        <v>297</v>
      </c>
      <c r="P4" t="str">
        <f>LEFT(O4,10)</f>
        <v>2024-01-01</v>
      </c>
    </row>
    <row r="5" spans="1:16" x14ac:dyDescent="0.25">
      <c r="A5" t="s">
        <v>531</v>
      </c>
      <c r="B5" s="31" t="s">
        <v>324</v>
      </c>
      <c r="C5" s="18" t="s">
        <v>0</v>
      </c>
      <c r="D5" s="31" t="s">
        <v>324</v>
      </c>
      <c r="E5" s="19" t="s">
        <v>0</v>
      </c>
      <c r="F5" s="20" t="b">
        <v>1</v>
      </c>
      <c r="G5" s="31" t="s">
        <v>324</v>
      </c>
      <c r="H5" s="29" t="s">
        <v>599</v>
      </c>
      <c r="I5" s="20">
        <v>-2</v>
      </c>
      <c r="J5">
        <v>2.5</v>
      </c>
      <c r="L5" t="b">
        <v>0</v>
      </c>
      <c r="M5" t="str">
        <f t="shared" ref="M5:M68" si="0">_xlfn.CONCAT("('",A5,"','",B5,"','",C5,"','",D5,"','",E5,"',",F5,",'",G5,"','",H5,"',",I5,",",J5,",",L5,"),")</f>
        <v>('b980eba0-e062-4b23-859d-4f0df86b94ac','2024-01-04','866dabc4-6501-44d2-a0e5-65da9c45a46e','2024-01-04','866dabc4-6501-44d2-a0e5-65da9c45a46e',TRUE,'2024-01-04','003',-2,2.5,FALSE),</v>
      </c>
      <c r="O5" s="26" t="s">
        <v>298</v>
      </c>
      <c r="P5" t="str">
        <f t="shared" ref="P5:P29" si="1">LEFT(O5,10)</f>
        <v>2022-01-04</v>
      </c>
    </row>
    <row r="6" spans="1:16" x14ac:dyDescent="0.25">
      <c r="A6" t="s">
        <v>532</v>
      </c>
      <c r="B6" s="31" t="s">
        <v>325</v>
      </c>
      <c r="C6" s="18" t="s">
        <v>0</v>
      </c>
      <c r="D6" s="31" t="s">
        <v>325</v>
      </c>
      <c r="E6" s="19" t="s">
        <v>0</v>
      </c>
      <c r="F6" s="20" t="b">
        <v>1</v>
      </c>
      <c r="G6" s="31" t="s">
        <v>325</v>
      </c>
      <c r="H6" s="29" t="s">
        <v>599</v>
      </c>
      <c r="I6" s="20">
        <v>-2</v>
      </c>
      <c r="J6">
        <v>2.5</v>
      </c>
      <c r="L6" t="b">
        <v>0</v>
      </c>
      <c r="M6" t="str">
        <f t="shared" si="0"/>
        <v>('861cc56c-9aad-4fcb-9a3e-166c1af4d67b','2024-01-08','866dabc4-6501-44d2-a0e5-65da9c45a46e','2024-01-08','866dabc4-6501-44d2-a0e5-65da9c45a46e',TRUE,'2024-01-08','003',-2,2.5,FALSE),</v>
      </c>
      <c r="O6" s="26" t="s">
        <v>299</v>
      </c>
      <c r="P6" t="str">
        <f t="shared" si="1"/>
        <v>2022-01-08</v>
      </c>
    </row>
    <row r="7" spans="1:16" x14ac:dyDescent="0.25">
      <c r="A7" t="s">
        <v>533</v>
      </c>
      <c r="B7" s="31" t="s">
        <v>326</v>
      </c>
      <c r="C7" s="18" t="s">
        <v>0</v>
      </c>
      <c r="D7" s="31" t="s">
        <v>326</v>
      </c>
      <c r="E7" s="19" t="s">
        <v>0</v>
      </c>
      <c r="F7" s="20" t="b">
        <v>1</v>
      </c>
      <c r="G7" s="31" t="s">
        <v>326</v>
      </c>
      <c r="H7" s="29" t="s">
        <v>599</v>
      </c>
      <c r="I7" s="20">
        <v>-2</v>
      </c>
      <c r="J7">
        <v>2.5</v>
      </c>
      <c r="L7" t="b">
        <v>0</v>
      </c>
      <c r="M7" t="str">
        <f t="shared" si="0"/>
        <v>('ef00f619-296d-4e5f-9e85-237554af9771','2024-01-11','866dabc4-6501-44d2-a0e5-65da9c45a46e','2024-01-11','866dabc4-6501-44d2-a0e5-65da9c45a46e',TRUE,'2024-01-11','003',-2,2.5,FALSE),</v>
      </c>
      <c r="O7" s="26" t="s">
        <v>300</v>
      </c>
      <c r="P7" t="str">
        <f t="shared" si="1"/>
        <v>2022-01-11</v>
      </c>
    </row>
    <row r="8" spans="1:16" x14ac:dyDescent="0.25">
      <c r="A8" t="s">
        <v>534</v>
      </c>
      <c r="B8" s="31" t="s">
        <v>327</v>
      </c>
      <c r="C8" s="18" t="s">
        <v>0</v>
      </c>
      <c r="D8" s="31" t="s">
        <v>327</v>
      </c>
      <c r="E8" s="19" t="s">
        <v>0</v>
      </c>
      <c r="F8" s="20" t="b">
        <v>1</v>
      </c>
      <c r="G8" s="31" t="s">
        <v>327</v>
      </c>
      <c r="H8" s="29" t="s">
        <v>599</v>
      </c>
      <c r="I8" s="20">
        <v>-2</v>
      </c>
      <c r="J8">
        <v>2.5</v>
      </c>
      <c r="L8" t="b">
        <v>0</v>
      </c>
      <c r="M8" t="str">
        <f t="shared" si="0"/>
        <v>('e5e717a9-83e4-4d52-a171-a3289f70c737','2024-01-15','866dabc4-6501-44d2-a0e5-65da9c45a46e','2024-01-15','866dabc4-6501-44d2-a0e5-65da9c45a46e',TRUE,'2024-01-15','003',-2,2.5,FALSE),</v>
      </c>
      <c r="O8" s="26" t="s">
        <v>301</v>
      </c>
      <c r="P8" t="str">
        <f t="shared" si="1"/>
        <v>2022-01-15</v>
      </c>
    </row>
    <row r="9" spans="1:16" x14ac:dyDescent="0.25">
      <c r="A9" t="s">
        <v>535</v>
      </c>
      <c r="B9" s="31" t="s">
        <v>328</v>
      </c>
      <c r="C9" s="18" t="s">
        <v>0</v>
      </c>
      <c r="D9" s="31" t="s">
        <v>328</v>
      </c>
      <c r="E9" s="19" t="s">
        <v>0</v>
      </c>
      <c r="F9" s="20" t="b">
        <v>1</v>
      </c>
      <c r="G9" s="31" t="s">
        <v>328</v>
      </c>
      <c r="H9" s="29" t="s">
        <v>599</v>
      </c>
      <c r="I9" s="20">
        <v>-2</v>
      </c>
      <c r="J9">
        <v>2.5</v>
      </c>
      <c r="L9" t="b">
        <v>0</v>
      </c>
      <c r="M9" t="str">
        <f t="shared" si="0"/>
        <v>('3c36fe72-0a4b-41c2-9366-2dcd8c4801a7','2024-01-18','866dabc4-6501-44d2-a0e5-65da9c45a46e','2024-01-18','866dabc4-6501-44d2-a0e5-65da9c45a46e',TRUE,'2024-01-18','003',-2,2.5,FALSE),</v>
      </c>
      <c r="O9" s="26" t="s">
        <v>302</v>
      </c>
      <c r="P9" t="str">
        <f t="shared" si="1"/>
        <v>2022-01-18</v>
      </c>
    </row>
    <row r="10" spans="1:16" x14ac:dyDescent="0.25">
      <c r="A10" t="s">
        <v>536</v>
      </c>
      <c r="B10" s="31" t="s">
        <v>329</v>
      </c>
      <c r="C10" s="18" t="s">
        <v>0</v>
      </c>
      <c r="D10" s="31" t="s">
        <v>329</v>
      </c>
      <c r="E10" s="19" t="s">
        <v>0</v>
      </c>
      <c r="F10" s="20" t="b">
        <v>1</v>
      </c>
      <c r="G10" s="31" t="s">
        <v>329</v>
      </c>
      <c r="H10" s="29" t="s">
        <v>599</v>
      </c>
      <c r="I10" s="20">
        <v>-2</v>
      </c>
      <c r="J10">
        <v>2.5</v>
      </c>
      <c r="L10" t="b">
        <v>0</v>
      </c>
      <c r="M10" t="str">
        <f t="shared" si="0"/>
        <v>('4355156d-16e4-44fb-9ac5-e95f0ec74640','2024-01-22','866dabc4-6501-44d2-a0e5-65da9c45a46e','2024-01-22','866dabc4-6501-44d2-a0e5-65da9c45a46e',TRUE,'2024-01-22','003',-2,2.5,FALSE),</v>
      </c>
      <c r="O10" s="26" t="s">
        <v>303</v>
      </c>
      <c r="P10" t="str">
        <f t="shared" si="1"/>
        <v>2022-01-22</v>
      </c>
    </row>
    <row r="11" spans="1:16" x14ac:dyDescent="0.25">
      <c r="A11" t="s">
        <v>537</v>
      </c>
      <c r="B11" s="31" t="s">
        <v>330</v>
      </c>
      <c r="C11" s="18" t="s">
        <v>0</v>
      </c>
      <c r="D11" s="31" t="s">
        <v>330</v>
      </c>
      <c r="E11" s="19" t="s">
        <v>0</v>
      </c>
      <c r="F11" s="20" t="b">
        <v>1</v>
      </c>
      <c r="G11" s="31" t="s">
        <v>330</v>
      </c>
      <c r="H11" s="29" t="s">
        <v>599</v>
      </c>
      <c r="I11" s="20">
        <v>-2</v>
      </c>
      <c r="J11">
        <v>2.5</v>
      </c>
      <c r="L11" t="b">
        <v>0</v>
      </c>
      <c r="M11" t="str">
        <f t="shared" si="0"/>
        <v>('2c3b6ffa-7679-40b3-bc00-448d85bc7fe7','2024-01-25','866dabc4-6501-44d2-a0e5-65da9c45a46e','2024-01-25','866dabc4-6501-44d2-a0e5-65da9c45a46e',TRUE,'2024-01-25','003',-2,2.5,FALSE),</v>
      </c>
      <c r="O11" s="26" t="s">
        <v>304</v>
      </c>
      <c r="P11" t="str">
        <f t="shared" si="1"/>
        <v>2022-01-25</v>
      </c>
    </row>
    <row r="12" spans="1:16" x14ac:dyDescent="0.25">
      <c r="A12" t="s">
        <v>538</v>
      </c>
      <c r="B12" s="31" t="s">
        <v>331</v>
      </c>
      <c r="C12" s="18" t="s">
        <v>0</v>
      </c>
      <c r="D12" s="31" t="s">
        <v>331</v>
      </c>
      <c r="E12" s="19" t="s">
        <v>0</v>
      </c>
      <c r="F12" s="20" t="b">
        <v>1</v>
      </c>
      <c r="G12" s="31" t="s">
        <v>331</v>
      </c>
      <c r="H12" s="29" t="s">
        <v>599</v>
      </c>
      <c r="I12" s="20">
        <v>-2</v>
      </c>
      <c r="J12">
        <v>2.5</v>
      </c>
      <c r="L12" t="b">
        <v>0</v>
      </c>
      <c r="M12" t="str">
        <f t="shared" si="0"/>
        <v>('a3322c73-aaeb-468e-94b6-d64a2644098d','2024-01-29','866dabc4-6501-44d2-a0e5-65da9c45a46e','2024-01-29','866dabc4-6501-44d2-a0e5-65da9c45a46e',TRUE,'2024-01-29','003',-2,2.5,FALSE),</v>
      </c>
      <c r="O12" s="26" t="s">
        <v>305</v>
      </c>
      <c r="P12" t="str">
        <f t="shared" si="1"/>
        <v>2022-01-29</v>
      </c>
    </row>
    <row r="13" spans="1:16" x14ac:dyDescent="0.25">
      <c r="A13" t="s">
        <v>539</v>
      </c>
      <c r="B13" s="31" t="s">
        <v>332</v>
      </c>
      <c r="C13" s="18" t="s">
        <v>0</v>
      </c>
      <c r="D13" s="31" t="s">
        <v>332</v>
      </c>
      <c r="E13" s="19" t="s">
        <v>0</v>
      </c>
      <c r="F13" s="20" t="b">
        <v>1</v>
      </c>
      <c r="G13" s="31" t="s">
        <v>332</v>
      </c>
      <c r="H13" s="29" t="s">
        <v>599</v>
      </c>
      <c r="I13" s="20">
        <v>-2</v>
      </c>
      <c r="J13">
        <v>2.5</v>
      </c>
      <c r="L13" t="b">
        <v>0</v>
      </c>
      <c r="M13" t="str">
        <f t="shared" si="0"/>
        <v>('5cbf9b4b-c16b-4eb4-b294-5730bc125464','2024-02-01','866dabc4-6501-44d2-a0e5-65da9c45a46e','2024-02-01','866dabc4-6501-44d2-a0e5-65da9c45a46e',TRUE,'2024-02-01','003',-2,2.5,FALSE),</v>
      </c>
      <c r="O13" s="26" t="s">
        <v>313</v>
      </c>
      <c r="P13" t="str">
        <f t="shared" si="1"/>
        <v>2022-02-01</v>
      </c>
    </row>
    <row r="14" spans="1:16" x14ac:dyDescent="0.25">
      <c r="A14" t="s">
        <v>540</v>
      </c>
      <c r="B14" s="32" t="s">
        <v>333</v>
      </c>
      <c r="C14" s="18" t="s">
        <v>0</v>
      </c>
      <c r="D14" s="32" t="s">
        <v>333</v>
      </c>
      <c r="E14" s="19" t="s">
        <v>0</v>
      </c>
      <c r="F14" s="20" t="b">
        <v>1</v>
      </c>
      <c r="G14" s="32" t="s">
        <v>333</v>
      </c>
      <c r="H14" s="29" t="s">
        <v>599</v>
      </c>
      <c r="I14" s="20">
        <v>-2</v>
      </c>
      <c r="J14">
        <v>2.5</v>
      </c>
      <c r="L14" t="b">
        <v>0</v>
      </c>
      <c r="M14" t="str">
        <f t="shared" si="0"/>
        <v>('ca701d88-3acb-4898-ac69-320a3434025d','2024-02-02','866dabc4-6501-44d2-a0e5-65da9c45a46e','2024-02-02','866dabc4-6501-44d2-a0e5-65da9c45a46e',TRUE,'2024-02-02','003',-2,2.5,FALSE),</v>
      </c>
      <c r="O14" s="27" t="s">
        <v>269</v>
      </c>
      <c r="P14" t="str">
        <f t="shared" si="1"/>
        <v>2022-02-02</v>
      </c>
    </row>
    <row r="15" spans="1:16" x14ac:dyDescent="0.25">
      <c r="A15" t="s">
        <v>541</v>
      </c>
      <c r="B15" s="32" t="s">
        <v>334</v>
      </c>
      <c r="C15" s="18" t="s">
        <v>0</v>
      </c>
      <c r="D15" s="32" t="s">
        <v>334</v>
      </c>
      <c r="E15" s="19" t="s">
        <v>0</v>
      </c>
      <c r="F15" s="20" t="b">
        <v>1</v>
      </c>
      <c r="G15" s="32" t="s">
        <v>334</v>
      </c>
      <c r="H15" s="29" t="s">
        <v>599</v>
      </c>
      <c r="I15" s="20">
        <v>-2</v>
      </c>
      <c r="J15">
        <v>2.5</v>
      </c>
      <c r="L15" t="b">
        <v>0</v>
      </c>
      <c r="M15" t="str">
        <f t="shared" si="0"/>
        <v>('51b4ab3d-32ba-4c1c-a937-03c9eb146f3f','2024-02-08','866dabc4-6501-44d2-a0e5-65da9c45a46e','2024-02-08','866dabc4-6501-44d2-a0e5-65da9c45a46e',TRUE,'2024-02-08','003',-2,2.5,FALSE),</v>
      </c>
      <c r="O15" s="27" t="s">
        <v>306</v>
      </c>
      <c r="P15" t="str">
        <f t="shared" si="1"/>
        <v>2022-02-08</v>
      </c>
    </row>
    <row r="16" spans="1:16" x14ac:dyDescent="0.25">
      <c r="A16" t="s">
        <v>542</v>
      </c>
      <c r="B16" s="32" t="s">
        <v>335</v>
      </c>
      <c r="C16" s="18" t="s">
        <v>0</v>
      </c>
      <c r="D16" s="32" t="s">
        <v>335</v>
      </c>
      <c r="E16" s="19" t="s">
        <v>0</v>
      </c>
      <c r="F16" s="20" t="b">
        <v>1</v>
      </c>
      <c r="G16" s="32" t="s">
        <v>335</v>
      </c>
      <c r="H16" s="29" t="s">
        <v>599</v>
      </c>
      <c r="I16" s="20">
        <v>-2</v>
      </c>
      <c r="J16">
        <v>2.5</v>
      </c>
      <c r="L16" t="b">
        <v>0</v>
      </c>
      <c r="M16" t="str">
        <f t="shared" si="0"/>
        <v>('a241ce74-7075-406f-998d-6cf3c1b8956a','2024-02-12','866dabc4-6501-44d2-a0e5-65da9c45a46e','2024-02-12','866dabc4-6501-44d2-a0e5-65da9c45a46e',TRUE,'2024-02-12','003',-2,2.5,FALSE),</v>
      </c>
      <c r="O16" s="27" t="s">
        <v>307</v>
      </c>
      <c r="P16" t="str">
        <f t="shared" si="1"/>
        <v>2022-02-12</v>
      </c>
    </row>
    <row r="17" spans="1:16" x14ac:dyDescent="0.25">
      <c r="A17" t="s">
        <v>543</v>
      </c>
      <c r="B17" s="32" t="s">
        <v>336</v>
      </c>
      <c r="C17" s="18" t="s">
        <v>0</v>
      </c>
      <c r="D17" s="32" t="s">
        <v>336</v>
      </c>
      <c r="E17" s="19" t="s">
        <v>0</v>
      </c>
      <c r="F17" s="20" t="b">
        <v>1</v>
      </c>
      <c r="G17" s="32" t="s">
        <v>336</v>
      </c>
      <c r="H17" s="29" t="s">
        <v>599</v>
      </c>
      <c r="I17" s="20">
        <v>-2</v>
      </c>
      <c r="J17">
        <v>2.5</v>
      </c>
      <c r="L17" t="b">
        <v>0</v>
      </c>
      <c r="M17" t="str">
        <f t="shared" si="0"/>
        <v>('4bfab929-7ab1-4d4f-86da-4b62c0569b1a','2024-02-15','866dabc4-6501-44d2-a0e5-65da9c45a46e','2024-02-15','866dabc4-6501-44d2-a0e5-65da9c45a46e',TRUE,'2024-02-15','003',-2,2.5,FALSE),</v>
      </c>
      <c r="O17" s="27" t="s">
        <v>308</v>
      </c>
      <c r="P17" t="str">
        <f t="shared" si="1"/>
        <v>2022-02-15</v>
      </c>
    </row>
    <row r="18" spans="1:16" x14ac:dyDescent="0.25">
      <c r="A18" t="s">
        <v>544</v>
      </c>
      <c r="B18" s="32" t="s">
        <v>337</v>
      </c>
      <c r="C18" s="18" t="s">
        <v>0</v>
      </c>
      <c r="D18" s="32" t="s">
        <v>337</v>
      </c>
      <c r="E18" s="19" t="s">
        <v>0</v>
      </c>
      <c r="F18" s="20" t="b">
        <v>1</v>
      </c>
      <c r="G18" s="32" t="s">
        <v>337</v>
      </c>
      <c r="H18" s="29" t="s">
        <v>599</v>
      </c>
      <c r="I18" s="20">
        <v>-2</v>
      </c>
      <c r="J18">
        <v>2.5</v>
      </c>
      <c r="L18" t="b">
        <v>0</v>
      </c>
      <c r="M18" t="str">
        <f t="shared" si="0"/>
        <v>('530e8dad-628e-4c06-8bf6-d7e2f5de760e','2024-02-19','866dabc4-6501-44d2-a0e5-65da9c45a46e','2024-02-19','866dabc4-6501-44d2-a0e5-65da9c45a46e',TRUE,'2024-02-19','003',-2,2.5,FALSE),</v>
      </c>
      <c r="O18" s="27" t="s">
        <v>309</v>
      </c>
      <c r="P18" t="str">
        <f t="shared" si="1"/>
        <v>2022-02-19</v>
      </c>
    </row>
    <row r="19" spans="1:16" x14ac:dyDescent="0.25">
      <c r="A19" t="s">
        <v>545</v>
      </c>
      <c r="B19" s="32" t="s">
        <v>338</v>
      </c>
      <c r="C19" s="18" t="s">
        <v>0</v>
      </c>
      <c r="D19" s="32" t="s">
        <v>338</v>
      </c>
      <c r="E19" s="19" t="s">
        <v>0</v>
      </c>
      <c r="F19" s="20" t="b">
        <v>1</v>
      </c>
      <c r="G19" s="32" t="s">
        <v>338</v>
      </c>
      <c r="H19" s="29" t="s">
        <v>599</v>
      </c>
      <c r="I19" s="20">
        <v>-2</v>
      </c>
      <c r="J19">
        <v>2.5</v>
      </c>
      <c r="L19" t="b">
        <v>0</v>
      </c>
      <c r="M19" t="str">
        <f t="shared" si="0"/>
        <v>('d3961ee7-7865-4d2e-b156-21aa56e0c237','2024-02-22','866dabc4-6501-44d2-a0e5-65da9c45a46e','2024-02-22','866dabc4-6501-44d2-a0e5-65da9c45a46e',TRUE,'2024-02-22','003',-2,2.5,FALSE),</v>
      </c>
      <c r="O19" s="27" t="s">
        <v>310</v>
      </c>
      <c r="P19" t="str">
        <f t="shared" si="1"/>
        <v>2022-02-22</v>
      </c>
    </row>
    <row r="20" spans="1:16" x14ac:dyDescent="0.25">
      <c r="A20" t="s">
        <v>546</v>
      </c>
      <c r="B20" s="32" t="s">
        <v>339</v>
      </c>
      <c r="C20" s="18" t="s">
        <v>0</v>
      </c>
      <c r="D20" s="32" t="s">
        <v>339</v>
      </c>
      <c r="E20" s="19" t="s">
        <v>0</v>
      </c>
      <c r="F20" s="20" t="b">
        <v>1</v>
      </c>
      <c r="G20" s="32" t="s">
        <v>339</v>
      </c>
      <c r="H20" s="29" t="s">
        <v>599</v>
      </c>
      <c r="I20" s="20">
        <v>-2</v>
      </c>
      <c r="J20">
        <v>2.5</v>
      </c>
      <c r="L20" t="b">
        <v>0</v>
      </c>
      <c r="M20" t="str">
        <f t="shared" si="0"/>
        <v>('c3db5d7e-35c3-4741-96f0-24ddf13bef42','2024-02-26','866dabc4-6501-44d2-a0e5-65da9c45a46e','2024-02-26','866dabc4-6501-44d2-a0e5-65da9c45a46e',TRUE,'2024-02-26','003',-2,2.5,FALSE),</v>
      </c>
      <c r="O20" s="27" t="s">
        <v>311</v>
      </c>
      <c r="P20" t="str">
        <f t="shared" si="1"/>
        <v>2022-02-26</v>
      </c>
    </row>
    <row r="21" spans="1:16" x14ac:dyDescent="0.25">
      <c r="A21" t="s">
        <v>547</v>
      </c>
      <c r="B21" s="32" t="s">
        <v>340</v>
      </c>
      <c r="C21" s="18" t="s">
        <v>0</v>
      </c>
      <c r="D21" s="32" t="s">
        <v>340</v>
      </c>
      <c r="E21" s="19" t="s">
        <v>0</v>
      </c>
      <c r="F21" s="20" t="b">
        <v>1</v>
      </c>
      <c r="G21" s="32" t="s">
        <v>340</v>
      </c>
      <c r="H21" s="29" t="s">
        <v>599</v>
      </c>
      <c r="I21" s="20">
        <v>-2</v>
      </c>
      <c r="J21">
        <v>2.5</v>
      </c>
      <c r="L21" t="b">
        <v>0</v>
      </c>
      <c r="M21" t="str">
        <f t="shared" si="0"/>
        <v>('8f9a3c50-e3cb-4da6-9efb-9dd6ef0503a2','2024-02-29','866dabc4-6501-44d2-a0e5-65da9c45a46e','2024-02-29','866dabc4-6501-44d2-a0e5-65da9c45a46e',TRUE,'2024-02-29','003',-2,2.5,FALSE),</v>
      </c>
      <c r="O21" s="27" t="s">
        <v>312</v>
      </c>
      <c r="P21" t="str">
        <f t="shared" si="1"/>
        <v>2022-02-29</v>
      </c>
    </row>
    <row r="22" spans="1:16" x14ac:dyDescent="0.25">
      <c r="A22" s="25" t="s">
        <v>548</v>
      </c>
      <c r="B22" s="32" t="s">
        <v>341</v>
      </c>
      <c r="C22" s="18" t="s">
        <v>0</v>
      </c>
      <c r="D22" s="32" t="s">
        <v>341</v>
      </c>
      <c r="E22" s="19" t="s">
        <v>0</v>
      </c>
      <c r="F22" s="20" t="b">
        <v>1</v>
      </c>
      <c r="G22" s="32" t="s">
        <v>341</v>
      </c>
      <c r="H22" s="29" t="s">
        <v>599</v>
      </c>
      <c r="I22" s="20">
        <v>-2</v>
      </c>
      <c r="J22">
        <v>2.5</v>
      </c>
      <c r="L22" t="b">
        <v>0</v>
      </c>
      <c r="M22" t="str">
        <f t="shared" si="0"/>
        <v>('2e393ae1-da80-4a5b-811d-f8b8b4191562','2024-03-04','866dabc4-6501-44d2-a0e5-65da9c45a46e','2024-03-04','866dabc4-6501-44d2-a0e5-65da9c45a46e',TRUE,'2024-03-04','003',-2,2.5,FALSE),</v>
      </c>
      <c r="O22" s="27" t="s">
        <v>314</v>
      </c>
      <c r="P22" t="str">
        <f t="shared" si="1"/>
        <v>2022-03-04</v>
      </c>
    </row>
    <row r="23" spans="1:16" x14ac:dyDescent="0.25">
      <c r="A23" t="s">
        <v>549</v>
      </c>
      <c r="B23" s="32" t="s">
        <v>342</v>
      </c>
      <c r="C23" s="18" t="s">
        <v>0</v>
      </c>
      <c r="D23" s="32" t="s">
        <v>342</v>
      </c>
      <c r="E23" s="19" t="s">
        <v>0</v>
      </c>
      <c r="F23" s="20" t="b">
        <v>1</v>
      </c>
      <c r="G23" s="32" t="s">
        <v>342</v>
      </c>
      <c r="H23" s="29" t="s">
        <v>599</v>
      </c>
      <c r="I23" s="20">
        <v>-2</v>
      </c>
      <c r="J23">
        <v>2.5</v>
      </c>
      <c r="L23" t="b">
        <v>0</v>
      </c>
      <c r="M23" t="str">
        <f t="shared" si="0"/>
        <v>('3e5b82d2-b5f8-47a6-a838-8ea3a4c40ccb','2024-03-07','866dabc4-6501-44d2-a0e5-65da9c45a46e','2024-03-07','866dabc4-6501-44d2-a0e5-65da9c45a46e',TRUE,'2024-03-07','003',-2,2.5,FALSE),</v>
      </c>
      <c r="O23" s="27" t="s">
        <v>315</v>
      </c>
      <c r="P23" t="str">
        <f t="shared" si="1"/>
        <v>2022-03-07</v>
      </c>
    </row>
    <row r="24" spans="1:16" x14ac:dyDescent="0.25">
      <c r="A24" t="s">
        <v>550</v>
      </c>
      <c r="B24" s="31" t="s">
        <v>343</v>
      </c>
      <c r="C24" s="18" t="s">
        <v>0</v>
      </c>
      <c r="D24" s="31" t="s">
        <v>343</v>
      </c>
      <c r="E24" s="19" t="s">
        <v>0</v>
      </c>
      <c r="F24" s="20" t="b">
        <v>1</v>
      </c>
      <c r="G24" s="31" t="s">
        <v>343</v>
      </c>
      <c r="H24" s="29" t="s">
        <v>599</v>
      </c>
      <c r="I24" s="20">
        <v>-2</v>
      </c>
      <c r="J24">
        <v>2.5</v>
      </c>
      <c r="L24" t="b">
        <v>0</v>
      </c>
      <c r="M24" t="str">
        <f t="shared" si="0"/>
        <v>('529c51f2-e2ce-43f6-ab3a-cc57ca5a7292','2024-03-11','866dabc4-6501-44d2-a0e5-65da9c45a46e','2024-03-11','866dabc4-6501-44d2-a0e5-65da9c45a46e',TRUE,'2024-03-11','003',-2,2.5,FALSE),</v>
      </c>
      <c r="O24" s="26" t="s">
        <v>316</v>
      </c>
      <c r="P24" t="str">
        <f t="shared" si="1"/>
        <v>2025-03-11</v>
      </c>
    </row>
    <row r="25" spans="1:16" x14ac:dyDescent="0.25">
      <c r="A25" t="s">
        <v>551</v>
      </c>
      <c r="B25" s="31" t="s">
        <v>344</v>
      </c>
      <c r="C25" s="18" t="s">
        <v>0</v>
      </c>
      <c r="D25" s="31" t="s">
        <v>344</v>
      </c>
      <c r="E25" s="19" t="s">
        <v>0</v>
      </c>
      <c r="F25" s="20" t="b">
        <v>1</v>
      </c>
      <c r="G25" s="31" t="s">
        <v>344</v>
      </c>
      <c r="H25" s="29" t="s">
        <v>599</v>
      </c>
      <c r="I25" s="20">
        <v>-2</v>
      </c>
      <c r="J25">
        <v>2.5</v>
      </c>
      <c r="L25" t="b">
        <v>0</v>
      </c>
      <c r="M25" t="str">
        <f t="shared" si="0"/>
        <v>('36cc670f-b9eb-4363-967d-e17c7dbde052','2024-03-14','866dabc4-6501-44d2-a0e5-65da9c45a46e','2024-03-14','866dabc4-6501-44d2-a0e5-65da9c45a46e',TRUE,'2024-03-14','003',-2,2.5,FALSE),</v>
      </c>
      <c r="O25" s="26" t="s">
        <v>317</v>
      </c>
      <c r="P25" t="str">
        <f t="shared" si="1"/>
        <v>2025-03-14</v>
      </c>
    </row>
    <row r="26" spans="1:16" x14ac:dyDescent="0.25">
      <c r="A26" t="s">
        <v>552</v>
      </c>
      <c r="B26" s="31" t="s">
        <v>345</v>
      </c>
      <c r="C26" s="18" t="s">
        <v>0</v>
      </c>
      <c r="D26" s="31" t="s">
        <v>345</v>
      </c>
      <c r="E26" s="19" t="s">
        <v>0</v>
      </c>
      <c r="F26" s="20" t="b">
        <v>1</v>
      </c>
      <c r="G26" s="31" t="s">
        <v>345</v>
      </c>
      <c r="H26" s="29" t="s">
        <v>599</v>
      </c>
      <c r="I26" s="20">
        <v>-2</v>
      </c>
      <c r="J26">
        <v>2.5</v>
      </c>
      <c r="L26" t="b">
        <v>0</v>
      </c>
      <c r="M26" t="str">
        <f t="shared" si="0"/>
        <v>('257c465a-aad9-44c5-8756-868ea21d42b1','2024-03-18','866dabc4-6501-44d2-a0e5-65da9c45a46e','2024-03-18','866dabc4-6501-44d2-a0e5-65da9c45a46e',TRUE,'2024-03-18','003',-2,2.5,FALSE),</v>
      </c>
      <c r="O26" s="26" t="s">
        <v>318</v>
      </c>
      <c r="P26" t="str">
        <f t="shared" si="1"/>
        <v>2025-03-18</v>
      </c>
    </row>
    <row r="27" spans="1:16" x14ac:dyDescent="0.25">
      <c r="A27" t="s">
        <v>553</v>
      </c>
      <c r="B27" s="31" t="s">
        <v>346</v>
      </c>
      <c r="C27" s="18" t="s">
        <v>0</v>
      </c>
      <c r="D27" s="31" t="s">
        <v>346</v>
      </c>
      <c r="E27" s="19" t="s">
        <v>0</v>
      </c>
      <c r="F27" s="20" t="b">
        <v>1</v>
      </c>
      <c r="G27" s="31" t="s">
        <v>346</v>
      </c>
      <c r="H27" s="29" t="s">
        <v>599</v>
      </c>
      <c r="I27" s="20">
        <v>-2</v>
      </c>
      <c r="J27">
        <v>2.5</v>
      </c>
      <c r="L27" t="b">
        <v>0</v>
      </c>
      <c r="M27" t="str">
        <f t="shared" si="0"/>
        <v>('940622a4-8f7c-4735-a52a-4b110455f2c8','2024-03-21','866dabc4-6501-44d2-a0e5-65da9c45a46e','2024-03-21','866dabc4-6501-44d2-a0e5-65da9c45a46e',TRUE,'2024-03-21','003',-2,2.5,FALSE),</v>
      </c>
      <c r="O27" s="26" t="s">
        <v>319</v>
      </c>
      <c r="P27" t="str">
        <f t="shared" si="1"/>
        <v>2025-03-21</v>
      </c>
    </row>
    <row r="28" spans="1:16" x14ac:dyDescent="0.25">
      <c r="A28" t="s">
        <v>554</v>
      </c>
      <c r="B28" s="31" t="s">
        <v>347</v>
      </c>
      <c r="C28" s="18" t="s">
        <v>0</v>
      </c>
      <c r="D28" s="31" t="s">
        <v>347</v>
      </c>
      <c r="E28" s="19" t="s">
        <v>0</v>
      </c>
      <c r="F28" s="20" t="b">
        <v>1</v>
      </c>
      <c r="G28" s="31" t="s">
        <v>347</v>
      </c>
      <c r="H28" s="29" t="s">
        <v>599</v>
      </c>
      <c r="I28" s="20">
        <v>-2</v>
      </c>
      <c r="J28">
        <v>2.5</v>
      </c>
      <c r="L28" t="b">
        <v>0</v>
      </c>
      <c r="M28" t="str">
        <f t="shared" si="0"/>
        <v>('7ab8ea1d-c0d8-435e-9cd9-a19a1004bfa5','2024-03-25','866dabc4-6501-44d2-a0e5-65da9c45a46e','2024-03-25','866dabc4-6501-44d2-a0e5-65da9c45a46e',TRUE,'2024-03-25','003',-2,2.5,FALSE),</v>
      </c>
      <c r="O28" s="26" t="s">
        <v>320</v>
      </c>
      <c r="P28" t="str">
        <f t="shared" si="1"/>
        <v>2025-03-25</v>
      </c>
    </row>
    <row r="29" spans="1:16" x14ac:dyDescent="0.25">
      <c r="A29" t="s">
        <v>555</v>
      </c>
      <c r="B29" s="31" t="s">
        <v>348</v>
      </c>
      <c r="C29" s="18" t="s">
        <v>0</v>
      </c>
      <c r="D29" s="31" t="s">
        <v>348</v>
      </c>
      <c r="E29" s="19" t="s">
        <v>0</v>
      </c>
      <c r="F29" s="20" t="b">
        <v>1</v>
      </c>
      <c r="G29" s="31" t="s">
        <v>348</v>
      </c>
      <c r="H29" s="29" t="s">
        <v>599</v>
      </c>
      <c r="I29" s="20">
        <v>-2</v>
      </c>
      <c r="J29">
        <v>2.5</v>
      </c>
      <c r="L29" t="b">
        <v>0</v>
      </c>
      <c r="M29" t="str">
        <f t="shared" si="0"/>
        <v>('2297dd21-8dc5-43f1-a1cb-9ade8664f598','2024-03-28','866dabc4-6501-44d2-a0e5-65da9c45a46e','2024-03-28','866dabc4-6501-44d2-a0e5-65da9c45a46e',TRUE,'2024-03-28','003',-2,2.5,FALSE),</v>
      </c>
      <c r="O29" s="26" t="s">
        <v>321</v>
      </c>
      <c r="P29" t="str">
        <f t="shared" si="1"/>
        <v>2025-03-28</v>
      </c>
    </row>
    <row r="30" spans="1:16" s="37" customFormat="1" x14ac:dyDescent="0.25">
      <c r="A30" s="37" t="s">
        <v>556</v>
      </c>
      <c r="B30" s="39" t="s">
        <v>350</v>
      </c>
      <c r="C30" s="39" t="s">
        <v>227</v>
      </c>
      <c r="D30" s="39" t="s">
        <v>350</v>
      </c>
      <c r="E30" s="40" t="s">
        <v>227</v>
      </c>
      <c r="F30" s="37" t="b">
        <v>1</v>
      </c>
      <c r="G30" s="39" t="s">
        <v>350</v>
      </c>
      <c r="H30" s="29" t="s">
        <v>599</v>
      </c>
      <c r="I30" s="37">
        <v>-2</v>
      </c>
      <c r="J30">
        <v>2.5</v>
      </c>
      <c r="L30" s="37" t="b">
        <v>0</v>
      </c>
      <c r="M30" t="str">
        <f t="shared" si="0"/>
        <v>('112a33d6-c4d3-49f3-96cf-37913c6ee7f5','2024-07-02 16:24:00+00','00000000-0000-0000-0000-000000000000','2024-07-02 16:24:00+00','00000000-0000-0000-0000-000000000000',TRUE,'2024-07-02 16:24:00+00','003',-2,2.5,FALSE),</v>
      </c>
    </row>
    <row r="31" spans="1:16" x14ac:dyDescent="0.25">
      <c r="A31" t="s">
        <v>557</v>
      </c>
      <c r="B31" s="39" t="s">
        <v>351</v>
      </c>
      <c r="C31" s="21" t="s">
        <v>227</v>
      </c>
      <c r="D31" s="39" t="s">
        <v>351</v>
      </c>
      <c r="E31" s="22" t="s">
        <v>227</v>
      </c>
      <c r="F31" s="23" t="b">
        <v>1</v>
      </c>
      <c r="G31" s="39" t="s">
        <v>351</v>
      </c>
      <c r="H31" s="29" t="s">
        <v>599</v>
      </c>
      <c r="I31" s="20">
        <v>-2</v>
      </c>
      <c r="J31">
        <v>2.5</v>
      </c>
      <c r="L31" t="b">
        <v>0</v>
      </c>
      <c r="M31" t="str">
        <f t="shared" si="0"/>
        <v>('e2315d7d-19e2-4e2e-90f1-038dccc4cd9d','2024-07-04 16:24:00+00','00000000-0000-0000-0000-000000000000','2024-07-04 16:24:00+00','00000000-0000-0000-0000-000000000000',TRUE,'2024-07-04 16:24:00+00','003',-2,2.5,FALSE),</v>
      </c>
    </row>
    <row r="32" spans="1:16" x14ac:dyDescent="0.25">
      <c r="A32" t="s">
        <v>558</v>
      </c>
      <c r="B32" s="39" t="s">
        <v>352</v>
      </c>
      <c r="C32" s="21" t="s">
        <v>227</v>
      </c>
      <c r="D32" s="39" t="s">
        <v>352</v>
      </c>
      <c r="E32" s="22" t="s">
        <v>227</v>
      </c>
      <c r="F32" s="23" t="b">
        <v>1</v>
      </c>
      <c r="G32" s="39" t="s">
        <v>352</v>
      </c>
      <c r="H32" s="29" t="s">
        <v>599</v>
      </c>
      <c r="I32" s="20">
        <v>-2</v>
      </c>
      <c r="J32">
        <v>2.5</v>
      </c>
      <c r="L32" t="b">
        <v>0</v>
      </c>
      <c r="M32" t="str">
        <f t="shared" si="0"/>
        <v>('556851a9-876e-4801-850a-8801e82fe688','2024-07-06 16:24:00+00','00000000-0000-0000-0000-000000000000','2024-07-06 16:24:00+00','00000000-0000-0000-0000-000000000000',TRUE,'2024-07-06 16:24:00+00','003',-2,2.5,FALSE),</v>
      </c>
    </row>
    <row r="33" spans="1:13" x14ac:dyDescent="0.25">
      <c r="A33" t="s">
        <v>559</v>
      </c>
      <c r="B33" s="39" t="s">
        <v>353</v>
      </c>
      <c r="C33" s="21" t="s">
        <v>227</v>
      </c>
      <c r="D33" s="39" t="s">
        <v>353</v>
      </c>
      <c r="E33" s="22" t="s">
        <v>227</v>
      </c>
      <c r="F33" s="23" t="b">
        <v>1</v>
      </c>
      <c r="G33" s="39" t="s">
        <v>353</v>
      </c>
      <c r="H33" s="29" t="s">
        <v>599</v>
      </c>
      <c r="I33" s="20">
        <v>-2</v>
      </c>
      <c r="J33">
        <v>2.5</v>
      </c>
      <c r="L33" t="b">
        <v>0</v>
      </c>
      <c r="M33" t="str">
        <f t="shared" si="0"/>
        <v>('66ac42a9-68ba-4f29-a754-5d5ac454bb97','2024-07-09 16:24:00+00','00000000-0000-0000-0000-000000000000','2024-07-09 16:24:00+00','00000000-0000-0000-0000-000000000000',TRUE,'2024-07-09 16:24:00+00','003',-2,2.5,FALSE),</v>
      </c>
    </row>
    <row r="34" spans="1:13" x14ac:dyDescent="0.25">
      <c r="A34" t="s">
        <v>560</v>
      </c>
      <c r="B34" s="39" t="s">
        <v>354</v>
      </c>
      <c r="C34" s="21" t="s">
        <v>227</v>
      </c>
      <c r="D34" s="39" t="s">
        <v>354</v>
      </c>
      <c r="E34" s="22" t="s">
        <v>227</v>
      </c>
      <c r="F34" s="23" t="b">
        <v>1</v>
      </c>
      <c r="G34" s="39" t="s">
        <v>354</v>
      </c>
      <c r="H34" s="29" t="s">
        <v>599</v>
      </c>
      <c r="I34" s="20">
        <v>-2</v>
      </c>
      <c r="J34">
        <v>2.5</v>
      </c>
      <c r="L34" t="b">
        <v>0</v>
      </c>
      <c r="M34" t="str">
        <f t="shared" si="0"/>
        <v>('ce49f22e-ef54-4783-9158-03f65025131e','2024-07-11 16:24:00+00','00000000-0000-0000-0000-000000000000','2024-07-11 16:24:00+00','00000000-0000-0000-0000-000000000000',TRUE,'2024-07-11 16:24:00+00','003',-2,2.5,FALSE),</v>
      </c>
    </row>
    <row r="35" spans="1:13" x14ac:dyDescent="0.25">
      <c r="A35" t="s">
        <v>561</v>
      </c>
      <c r="B35" s="39" t="s">
        <v>355</v>
      </c>
      <c r="C35" s="21" t="s">
        <v>227</v>
      </c>
      <c r="D35" s="39" t="s">
        <v>355</v>
      </c>
      <c r="E35" s="22" t="s">
        <v>227</v>
      </c>
      <c r="F35" s="23" t="b">
        <v>1</v>
      </c>
      <c r="G35" s="39" t="s">
        <v>355</v>
      </c>
      <c r="H35" s="29" t="s">
        <v>599</v>
      </c>
      <c r="I35" s="20">
        <v>-2</v>
      </c>
      <c r="J35">
        <v>2.5</v>
      </c>
      <c r="L35" t="b">
        <v>0</v>
      </c>
      <c r="M35" t="str">
        <f t="shared" si="0"/>
        <v>('620e5bd4-40fc-4564-896b-83ca072d50d8','2024-07-13 16:24:00+00','00000000-0000-0000-0000-000000000000','2024-07-13 16:24:00+00','00000000-0000-0000-0000-000000000000',TRUE,'2024-07-13 16:24:00+00','003',-2,2.5,FALSE),</v>
      </c>
    </row>
    <row r="36" spans="1:13" x14ac:dyDescent="0.25">
      <c r="A36" t="s">
        <v>562</v>
      </c>
      <c r="B36" s="39" t="s">
        <v>356</v>
      </c>
      <c r="C36" s="21" t="s">
        <v>227</v>
      </c>
      <c r="D36" s="39" t="s">
        <v>356</v>
      </c>
      <c r="E36" s="22" t="s">
        <v>227</v>
      </c>
      <c r="F36" s="23" t="b">
        <v>1</v>
      </c>
      <c r="G36" s="39" t="s">
        <v>356</v>
      </c>
      <c r="H36" s="29" t="s">
        <v>599</v>
      </c>
      <c r="I36" s="20">
        <v>-2</v>
      </c>
      <c r="J36">
        <v>2.5</v>
      </c>
      <c r="L36" t="b">
        <v>0</v>
      </c>
      <c r="M36" t="str">
        <f t="shared" si="0"/>
        <v>('ec048ee3-c046-4bc0-ad5d-5f36ec8f91cd','2024-07-16 16:24:00+00','00000000-0000-0000-0000-000000000000','2024-07-16 16:24:00+00','00000000-0000-0000-0000-000000000000',TRUE,'2024-07-16 16:24:00+00','003',-2,2.5,FALSE),</v>
      </c>
    </row>
    <row r="37" spans="1:13" x14ac:dyDescent="0.25">
      <c r="A37" t="s">
        <v>563</v>
      </c>
      <c r="B37" s="39" t="s">
        <v>357</v>
      </c>
      <c r="C37" s="21" t="s">
        <v>227</v>
      </c>
      <c r="D37" s="39" t="s">
        <v>357</v>
      </c>
      <c r="E37" s="22" t="s">
        <v>227</v>
      </c>
      <c r="F37" s="23" t="b">
        <v>1</v>
      </c>
      <c r="G37" s="39" t="s">
        <v>357</v>
      </c>
      <c r="H37" s="29" t="s">
        <v>599</v>
      </c>
      <c r="I37" s="20">
        <v>-2</v>
      </c>
      <c r="J37">
        <v>2.5</v>
      </c>
      <c r="L37" t="b">
        <v>0</v>
      </c>
      <c r="M37" t="str">
        <f t="shared" si="0"/>
        <v>('4f55c25e-2c12-448b-b1e1-2f409edaaadf','2024-07-18 16:24:00+00','00000000-0000-0000-0000-000000000000','2024-07-18 16:24:00+00','00000000-0000-0000-0000-000000000000',TRUE,'2024-07-18 16:24:00+00','003',-2,2.5,FALSE),</v>
      </c>
    </row>
    <row r="38" spans="1:13" x14ac:dyDescent="0.25">
      <c r="A38" t="s">
        <v>564</v>
      </c>
      <c r="B38" s="39" t="s">
        <v>358</v>
      </c>
      <c r="C38" s="21" t="s">
        <v>227</v>
      </c>
      <c r="D38" s="39" t="s">
        <v>358</v>
      </c>
      <c r="E38" s="22" t="s">
        <v>227</v>
      </c>
      <c r="F38" s="23" t="b">
        <v>1</v>
      </c>
      <c r="G38" s="39" t="s">
        <v>358</v>
      </c>
      <c r="H38" s="29" t="s">
        <v>599</v>
      </c>
      <c r="I38" s="20">
        <v>-2</v>
      </c>
      <c r="J38">
        <v>2.5</v>
      </c>
      <c r="L38" t="b">
        <v>0</v>
      </c>
      <c r="M38" t="str">
        <f t="shared" si="0"/>
        <v>('d79ab817-bd01-475d-87c2-746b0dc71292','2024-07-20 16:24:00+00','00000000-0000-0000-0000-000000000000','2024-07-20 16:24:00+00','00000000-0000-0000-0000-000000000000',TRUE,'2024-07-20 16:24:00+00','003',-2,2.5,FALSE),</v>
      </c>
    </row>
    <row r="39" spans="1:13" x14ac:dyDescent="0.25">
      <c r="A39" s="25" t="s">
        <v>565</v>
      </c>
      <c r="B39" s="39" t="s">
        <v>359</v>
      </c>
      <c r="C39" s="21" t="s">
        <v>227</v>
      </c>
      <c r="D39" s="39" t="s">
        <v>359</v>
      </c>
      <c r="E39" s="22" t="s">
        <v>227</v>
      </c>
      <c r="F39" s="23" t="b">
        <v>1</v>
      </c>
      <c r="G39" s="39" t="s">
        <v>359</v>
      </c>
      <c r="H39" s="29" t="s">
        <v>599</v>
      </c>
      <c r="I39" s="20">
        <v>-2</v>
      </c>
      <c r="J39">
        <v>2.5</v>
      </c>
      <c r="L39" t="b">
        <v>0</v>
      </c>
      <c r="M39" t="str">
        <f t="shared" si="0"/>
        <v>('d6d634d8-c695-4bc8-9201-7d23b7facebd','2024-07-23 16:24:00+00','00000000-0000-0000-0000-000000000000','2024-07-23 16:24:00+00','00000000-0000-0000-0000-000000000000',TRUE,'2024-07-23 16:24:00+00','003',-2,2.5,FALSE),</v>
      </c>
    </row>
    <row r="40" spans="1:13" x14ac:dyDescent="0.25">
      <c r="A40" t="s">
        <v>566</v>
      </c>
      <c r="B40" s="39" t="s">
        <v>360</v>
      </c>
      <c r="C40" s="21" t="s">
        <v>227</v>
      </c>
      <c r="D40" s="39" t="s">
        <v>360</v>
      </c>
      <c r="E40" s="22" t="s">
        <v>227</v>
      </c>
      <c r="F40" s="23" t="b">
        <v>1</v>
      </c>
      <c r="G40" s="39" t="s">
        <v>360</v>
      </c>
      <c r="H40" s="29" t="s">
        <v>599</v>
      </c>
      <c r="I40" s="20">
        <v>-2</v>
      </c>
      <c r="J40">
        <v>2.5</v>
      </c>
      <c r="L40" t="b">
        <v>0</v>
      </c>
      <c r="M40" t="str">
        <f t="shared" si="0"/>
        <v>('0e57d72a-cbfb-4edd-b763-051941206e67','2024-07-25 16:24:00+00','00000000-0000-0000-0000-000000000000','2024-07-25 16:24:00+00','00000000-0000-0000-0000-000000000000',TRUE,'2024-07-25 16:24:00+00','003',-2,2.5,FALSE),</v>
      </c>
    </row>
    <row r="41" spans="1:13" x14ac:dyDescent="0.25">
      <c r="A41" t="s">
        <v>567</v>
      </c>
      <c r="B41" s="39" t="s">
        <v>361</v>
      </c>
      <c r="C41" s="21" t="s">
        <v>227</v>
      </c>
      <c r="D41" s="39" t="s">
        <v>361</v>
      </c>
      <c r="E41" s="22" t="s">
        <v>227</v>
      </c>
      <c r="F41" s="23" t="b">
        <v>1</v>
      </c>
      <c r="G41" s="39" t="s">
        <v>361</v>
      </c>
      <c r="H41" s="29" t="s">
        <v>599</v>
      </c>
      <c r="I41" s="20">
        <v>-2</v>
      </c>
      <c r="J41">
        <v>2.5</v>
      </c>
      <c r="L41" t="b">
        <v>0</v>
      </c>
      <c r="M41" t="str">
        <f t="shared" si="0"/>
        <v>('45c539a3-808a-4622-9bb4-65bf9ed485c1','2024-07-27 16:24:00+00','00000000-0000-0000-0000-000000000000','2024-07-27 16:24:00+00','00000000-0000-0000-0000-000000000000',TRUE,'2024-07-27 16:24:00+00','003',-2,2.5,FALSE),</v>
      </c>
    </row>
    <row r="42" spans="1:13" x14ac:dyDescent="0.25">
      <c r="A42" s="25" t="s">
        <v>568</v>
      </c>
      <c r="B42" s="39" t="s">
        <v>362</v>
      </c>
      <c r="C42" s="21" t="s">
        <v>227</v>
      </c>
      <c r="D42" s="39" t="s">
        <v>362</v>
      </c>
      <c r="E42" s="22" t="s">
        <v>227</v>
      </c>
      <c r="F42" s="23" t="b">
        <v>1</v>
      </c>
      <c r="G42" s="39" t="s">
        <v>362</v>
      </c>
      <c r="H42" s="29" t="s">
        <v>599</v>
      </c>
      <c r="I42" s="20">
        <v>-2</v>
      </c>
      <c r="J42">
        <v>2.5</v>
      </c>
      <c r="L42" t="b">
        <v>0</v>
      </c>
      <c r="M42" t="str">
        <f t="shared" si="0"/>
        <v>('d89f1350-2777-48b0-8aa0-a568033c2d84','2024-08-30 16:24:00+00','00000000-0000-0000-0000-000000000000','2024-08-30 16:24:00+00','00000000-0000-0000-0000-000000000000',TRUE,'2024-08-30 16:24:00+00','003',-2,2.5,FALSE),</v>
      </c>
    </row>
    <row r="43" spans="1:13" x14ac:dyDescent="0.25">
      <c r="A43" s="25" t="s">
        <v>569</v>
      </c>
      <c r="B43" s="39" t="s">
        <v>363</v>
      </c>
      <c r="C43" s="21" t="s">
        <v>227</v>
      </c>
      <c r="D43" s="39" t="s">
        <v>363</v>
      </c>
      <c r="E43" s="22" t="s">
        <v>227</v>
      </c>
      <c r="F43" s="23" t="b">
        <v>1</v>
      </c>
      <c r="G43" s="39" t="s">
        <v>363</v>
      </c>
      <c r="H43" s="29" t="s">
        <v>599</v>
      </c>
      <c r="I43" s="20">
        <v>-2</v>
      </c>
      <c r="J43">
        <v>2.5</v>
      </c>
      <c r="L43" t="b">
        <v>0</v>
      </c>
      <c r="M43" t="str">
        <f t="shared" si="0"/>
        <v>('a0e474ab-9bad-4676-93ea-2ba40831a321','2024-08-01 16:24:00+00','00000000-0000-0000-0000-000000000000','2024-08-01 16:24:00+00','00000000-0000-0000-0000-000000000000',TRUE,'2024-08-01 16:24:00+00','003',-2,2.5,FALSE),</v>
      </c>
    </row>
    <row r="44" spans="1:13" x14ac:dyDescent="0.25">
      <c r="A44" t="s">
        <v>570</v>
      </c>
      <c r="B44" s="39" t="s">
        <v>364</v>
      </c>
      <c r="C44" s="21" t="s">
        <v>227</v>
      </c>
      <c r="D44" s="39" t="s">
        <v>364</v>
      </c>
      <c r="E44" s="22" t="s">
        <v>227</v>
      </c>
      <c r="F44" s="23" t="b">
        <v>1</v>
      </c>
      <c r="G44" s="39" t="s">
        <v>364</v>
      </c>
      <c r="H44" s="29" t="s">
        <v>599</v>
      </c>
      <c r="I44" s="20">
        <v>-2</v>
      </c>
      <c r="J44">
        <v>2.5</v>
      </c>
      <c r="L44" t="b">
        <v>0</v>
      </c>
      <c r="M44" t="str">
        <f t="shared" si="0"/>
        <v>('fafde93a-207f-4c7f-a39a-44bd10fe2b9f','2024-08-03 16:24:00+00','00000000-0000-0000-0000-000000000000','2024-08-03 16:24:00+00','00000000-0000-0000-0000-000000000000',TRUE,'2024-08-03 16:24:00+00','003',-2,2.5,FALSE),</v>
      </c>
    </row>
    <row r="45" spans="1:13" x14ac:dyDescent="0.25">
      <c r="A45" t="s">
        <v>571</v>
      </c>
      <c r="B45" s="39" t="s">
        <v>365</v>
      </c>
      <c r="C45" s="21" t="s">
        <v>227</v>
      </c>
      <c r="D45" s="39" t="s">
        <v>365</v>
      </c>
      <c r="E45" s="22" t="s">
        <v>227</v>
      </c>
      <c r="F45" s="23" t="b">
        <v>1</v>
      </c>
      <c r="G45" s="39" t="s">
        <v>365</v>
      </c>
      <c r="H45" s="29" t="s">
        <v>599</v>
      </c>
      <c r="I45" s="20">
        <v>-2</v>
      </c>
      <c r="J45">
        <v>2.5</v>
      </c>
      <c r="L45" t="b">
        <v>0</v>
      </c>
      <c r="M45" t="str">
        <f t="shared" si="0"/>
        <v>('e1665467-ef4f-4efb-94e3-475b8118cd02','2024-08-06 16:24:00+01','00000000-0000-0000-0000-000000000000','2024-08-06 16:24:00+01','00000000-0000-0000-0000-000000000000',TRUE,'2024-08-06 16:24:00+01','003',-2,2.5,FALSE),</v>
      </c>
    </row>
    <row r="46" spans="1:13" x14ac:dyDescent="0.25">
      <c r="A46" t="s">
        <v>572</v>
      </c>
      <c r="B46" s="39" t="s">
        <v>366</v>
      </c>
      <c r="C46" s="21" t="s">
        <v>227</v>
      </c>
      <c r="D46" s="39" t="s">
        <v>366</v>
      </c>
      <c r="E46" s="22" t="s">
        <v>227</v>
      </c>
      <c r="F46" s="23" t="b">
        <v>1</v>
      </c>
      <c r="G46" s="39" t="s">
        <v>366</v>
      </c>
      <c r="H46" s="29" t="s">
        <v>599</v>
      </c>
      <c r="I46" s="20">
        <v>-2</v>
      </c>
      <c r="J46">
        <v>2.5</v>
      </c>
      <c r="L46" t="b">
        <v>0</v>
      </c>
      <c r="M46" t="str">
        <f t="shared" si="0"/>
        <v>('0a29f610-889a-4a5a-96b8-ddd1332d723c','2024-08-08 16:24:00+01','00000000-0000-0000-0000-000000000000','2024-08-08 16:24:00+01','00000000-0000-0000-0000-000000000000',TRUE,'2024-08-08 16:24:00+01','003',-2,2.5,FALSE),</v>
      </c>
    </row>
    <row r="47" spans="1:13" x14ac:dyDescent="0.25">
      <c r="A47" t="s">
        <v>573</v>
      </c>
      <c r="B47" s="39" t="s">
        <v>367</v>
      </c>
      <c r="C47" s="21" t="s">
        <v>227</v>
      </c>
      <c r="D47" s="39" t="s">
        <v>367</v>
      </c>
      <c r="E47" s="22" t="s">
        <v>227</v>
      </c>
      <c r="F47" s="23" t="b">
        <v>1</v>
      </c>
      <c r="G47" s="39" t="s">
        <v>367</v>
      </c>
      <c r="H47" s="29" t="s">
        <v>599</v>
      </c>
      <c r="I47" s="20">
        <v>-2</v>
      </c>
      <c r="J47">
        <v>2.5</v>
      </c>
      <c r="L47" t="b">
        <v>0</v>
      </c>
      <c r="M47" t="str">
        <f t="shared" si="0"/>
        <v>('0a126419-9038-473a-940a-b2cccbbe67cb','2024-08-10 16:24:00+01','00000000-0000-0000-0000-000000000000','2024-08-10 16:24:00+01','00000000-0000-0000-0000-000000000000',TRUE,'2024-08-10 16:24:00+01','003',-2,2.5,FALSE),</v>
      </c>
    </row>
    <row r="48" spans="1:13" x14ac:dyDescent="0.25">
      <c r="A48" t="s">
        <v>574</v>
      </c>
      <c r="B48" s="39" t="s">
        <v>368</v>
      </c>
      <c r="C48" s="21" t="s">
        <v>227</v>
      </c>
      <c r="D48" s="39" t="s">
        <v>368</v>
      </c>
      <c r="E48" s="22" t="s">
        <v>227</v>
      </c>
      <c r="F48" s="23" t="b">
        <v>1</v>
      </c>
      <c r="G48" s="39" t="s">
        <v>368</v>
      </c>
      <c r="H48" s="29" t="s">
        <v>599</v>
      </c>
      <c r="I48" s="20">
        <v>-2</v>
      </c>
      <c r="J48">
        <v>2.5</v>
      </c>
      <c r="L48" t="b">
        <v>0</v>
      </c>
      <c r="M48" t="str">
        <f t="shared" si="0"/>
        <v>('fe56c45d-a4ac-4d76-bc26-ae070fd06e22','2024-08-13 16:24:00+02','00000000-0000-0000-0000-000000000000','2024-08-13 16:24:00+02','00000000-0000-0000-0000-000000000000',TRUE,'2024-08-13 16:24:00+02','003',-2,2.5,FALSE),</v>
      </c>
    </row>
    <row r="49" spans="1:13" x14ac:dyDescent="0.25">
      <c r="A49" t="s">
        <v>575</v>
      </c>
      <c r="B49" s="39" t="s">
        <v>369</v>
      </c>
      <c r="C49" s="21" t="s">
        <v>227</v>
      </c>
      <c r="D49" s="39" t="s">
        <v>369</v>
      </c>
      <c r="E49" s="22" t="s">
        <v>227</v>
      </c>
      <c r="F49" s="23" t="b">
        <v>1</v>
      </c>
      <c r="G49" s="39" t="s">
        <v>369</v>
      </c>
      <c r="H49" s="29" t="s">
        <v>599</v>
      </c>
      <c r="I49" s="20">
        <v>-2</v>
      </c>
      <c r="J49">
        <v>2.5</v>
      </c>
      <c r="L49" t="b">
        <v>0</v>
      </c>
      <c r="M49" t="str">
        <f t="shared" si="0"/>
        <v>('1474ef6e-b557-4ff3-bb1e-218ed7e16474','2024-08-15 16:24:00+02','00000000-0000-0000-0000-000000000000','2024-08-15 16:24:00+02','00000000-0000-0000-0000-000000000000',TRUE,'2024-08-15 16:24:00+02','003',-2,2.5,FALSE),</v>
      </c>
    </row>
    <row r="50" spans="1:13" x14ac:dyDescent="0.25">
      <c r="A50" t="s">
        <v>576</v>
      </c>
      <c r="B50" s="39" t="s">
        <v>370</v>
      </c>
      <c r="C50" s="21" t="s">
        <v>227</v>
      </c>
      <c r="D50" s="39" t="s">
        <v>370</v>
      </c>
      <c r="E50" s="22" t="s">
        <v>227</v>
      </c>
      <c r="F50" s="23" t="b">
        <v>1</v>
      </c>
      <c r="G50" s="39" t="s">
        <v>370</v>
      </c>
      <c r="H50" s="29" t="s">
        <v>599</v>
      </c>
      <c r="I50" s="20">
        <v>-2</v>
      </c>
      <c r="J50">
        <v>2.5</v>
      </c>
      <c r="L50" t="b">
        <v>0</v>
      </c>
      <c r="M50" t="str">
        <f t="shared" si="0"/>
        <v>('1fffc997-6778-42de-a86f-d27290f424b7','2024-08-17 16:24:00+02','00000000-0000-0000-0000-000000000000','2024-08-17 16:24:00+02','00000000-0000-0000-0000-000000000000',TRUE,'2024-08-17 16:24:00+02','003',-2,2.5,FALSE),</v>
      </c>
    </row>
    <row r="51" spans="1:13" x14ac:dyDescent="0.25">
      <c r="A51" t="s">
        <v>577</v>
      </c>
      <c r="B51" s="39" t="s">
        <v>371</v>
      </c>
      <c r="C51" s="21" t="s">
        <v>227</v>
      </c>
      <c r="D51" s="39" t="s">
        <v>371</v>
      </c>
      <c r="E51" s="22" t="s">
        <v>227</v>
      </c>
      <c r="F51" s="23" t="b">
        <v>1</v>
      </c>
      <c r="G51" s="39" t="s">
        <v>371</v>
      </c>
      <c r="H51" s="29" t="s">
        <v>599</v>
      </c>
      <c r="I51" s="20">
        <v>-2</v>
      </c>
      <c r="J51">
        <v>2.5</v>
      </c>
      <c r="L51" t="b">
        <v>0</v>
      </c>
      <c r="M51" t="str">
        <f t="shared" si="0"/>
        <v>('5816d2d3-ee29-48b6-8dd3-cc8d783f9f75','2024-08-20 16:24:00+03','00000000-0000-0000-0000-000000000000','2024-08-20 16:24:00+03','00000000-0000-0000-0000-000000000000',TRUE,'2024-08-20 16:24:00+03','003',-2,2.5,FALSE),</v>
      </c>
    </row>
    <row r="52" spans="1:13" x14ac:dyDescent="0.25">
      <c r="A52" t="s">
        <v>578</v>
      </c>
      <c r="B52" s="39" t="s">
        <v>372</v>
      </c>
      <c r="C52" s="21" t="s">
        <v>227</v>
      </c>
      <c r="D52" s="39" t="s">
        <v>372</v>
      </c>
      <c r="E52" s="22" t="s">
        <v>227</v>
      </c>
      <c r="F52" s="23" t="b">
        <v>1</v>
      </c>
      <c r="G52" s="39" t="s">
        <v>372</v>
      </c>
      <c r="H52" s="29" t="s">
        <v>599</v>
      </c>
      <c r="I52" s="20">
        <v>-2</v>
      </c>
      <c r="J52">
        <v>2.5</v>
      </c>
      <c r="L52" t="b">
        <v>0</v>
      </c>
      <c r="M52" t="str">
        <f t="shared" si="0"/>
        <v>('db2d7c41-9c13-4881-8481-c7273d625bc7','2024-08-22 16:24:00+03','00000000-0000-0000-0000-000000000000','2024-08-22 16:24:00+03','00000000-0000-0000-0000-000000000000',TRUE,'2024-08-22 16:24:00+03','003',-2,2.5,FALSE),</v>
      </c>
    </row>
    <row r="53" spans="1:13" x14ac:dyDescent="0.25">
      <c r="A53" t="s">
        <v>579</v>
      </c>
      <c r="B53" s="39" t="s">
        <v>373</v>
      </c>
      <c r="C53" s="21" t="s">
        <v>227</v>
      </c>
      <c r="D53" s="39" t="s">
        <v>373</v>
      </c>
      <c r="E53" s="22" t="s">
        <v>227</v>
      </c>
      <c r="F53" s="23" t="b">
        <v>1</v>
      </c>
      <c r="G53" s="39" t="s">
        <v>373</v>
      </c>
      <c r="H53" s="29" t="s">
        <v>599</v>
      </c>
      <c r="I53" s="20">
        <v>-2</v>
      </c>
      <c r="J53">
        <v>2.5</v>
      </c>
      <c r="L53" t="b">
        <v>0</v>
      </c>
      <c r="M53" t="str">
        <f t="shared" si="0"/>
        <v>('770c1bf7-d114-49fe-a3d3-7ea30f4a280c','2024-08-24 16:24:00+03','00000000-0000-0000-0000-000000000000','2024-08-24 16:24:00+03','00000000-0000-0000-0000-000000000000',TRUE,'2024-08-24 16:24:00+03','003',-2,2.5,FALSE),</v>
      </c>
    </row>
    <row r="54" spans="1:13" x14ac:dyDescent="0.25">
      <c r="A54" t="s">
        <v>580</v>
      </c>
      <c r="B54" s="39" t="s">
        <v>374</v>
      </c>
      <c r="C54" s="21" t="s">
        <v>227</v>
      </c>
      <c r="D54" s="39" t="s">
        <v>374</v>
      </c>
      <c r="E54" s="22" t="s">
        <v>227</v>
      </c>
      <c r="F54" s="23" t="b">
        <v>1</v>
      </c>
      <c r="G54" s="39" t="s">
        <v>374</v>
      </c>
      <c r="H54" s="29" t="s">
        <v>599</v>
      </c>
      <c r="I54" s="20">
        <v>-2</v>
      </c>
      <c r="J54">
        <v>2.5</v>
      </c>
      <c r="L54" t="b">
        <v>0</v>
      </c>
      <c r="M54" t="str">
        <f t="shared" si="0"/>
        <v>('fdedf1b5-0542-4ef5-8bac-735a9ebe7609','2024-08-27 16:24:00+04','00000000-0000-0000-0000-000000000000','2024-08-27 16:24:00+04','00000000-0000-0000-0000-000000000000',TRUE,'2024-08-27 16:24:00+04','003',-2,2.5,FALSE),</v>
      </c>
    </row>
    <row r="55" spans="1:13" x14ac:dyDescent="0.25">
      <c r="A55" t="s">
        <v>581</v>
      </c>
      <c r="B55" s="39" t="s">
        <v>375</v>
      </c>
      <c r="C55" s="21" t="s">
        <v>227</v>
      </c>
      <c r="D55" s="39" t="s">
        <v>375</v>
      </c>
      <c r="E55" s="22" t="s">
        <v>227</v>
      </c>
      <c r="F55" s="23" t="b">
        <v>1</v>
      </c>
      <c r="G55" s="39" t="s">
        <v>375</v>
      </c>
      <c r="H55" s="29" t="s">
        <v>599</v>
      </c>
      <c r="I55" s="20">
        <v>-2</v>
      </c>
      <c r="J55">
        <v>2.5</v>
      </c>
      <c r="L55" t="b">
        <v>0</v>
      </c>
      <c r="M55" t="str">
        <f t="shared" si="0"/>
        <v>('c55b9ecb-2b33-488f-a0b1-2cc355b4445a','2024-08-29 16:24:00+04','00000000-0000-0000-0000-000000000000','2024-08-29 16:24:00+04','00000000-0000-0000-0000-000000000000',TRUE,'2024-08-29 16:24:00+04','003',-2,2.5,FALSE),</v>
      </c>
    </row>
    <row r="56" spans="1:13" x14ac:dyDescent="0.25">
      <c r="A56" s="25" t="s">
        <v>582</v>
      </c>
      <c r="B56" s="39" t="s">
        <v>376</v>
      </c>
      <c r="C56" s="21" t="s">
        <v>227</v>
      </c>
      <c r="D56" s="39" t="s">
        <v>376</v>
      </c>
      <c r="E56" s="22" t="s">
        <v>227</v>
      </c>
      <c r="F56" s="23" t="b">
        <v>1</v>
      </c>
      <c r="G56" s="39" t="s">
        <v>376</v>
      </c>
      <c r="H56" s="29" t="s">
        <v>599</v>
      </c>
      <c r="I56" s="20">
        <v>-2</v>
      </c>
      <c r="J56">
        <v>2.5</v>
      </c>
      <c r="L56" t="b">
        <v>0</v>
      </c>
      <c r="M56" t="str">
        <f t="shared" si="0"/>
        <v>('47e37966-a06a-45b9-bb49-832d760fbbc0','2024-08-31 16:24:00+04','00000000-0000-0000-0000-000000000000','2024-08-31 16:24:00+04','00000000-0000-0000-0000-000000000000',TRUE,'2024-08-31 16:24:00+04','003',-2,2.5,FALSE),</v>
      </c>
    </row>
    <row r="57" spans="1:13" x14ac:dyDescent="0.25">
      <c r="A57" t="s">
        <v>583</v>
      </c>
      <c r="B57" s="39" t="s">
        <v>377</v>
      </c>
      <c r="C57" s="21" t="s">
        <v>227</v>
      </c>
      <c r="D57" s="39" t="s">
        <v>377</v>
      </c>
      <c r="E57" s="22" t="s">
        <v>227</v>
      </c>
      <c r="F57" s="23" t="b">
        <v>1</v>
      </c>
      <c r="G57" s="39" t="s">
        <v>377</v>
      </c>
      <c r="H57" s="29" t="s">
        <v>599</v>
      </c>
      <c r="I57" s="20">
        <v>-2</v>
      </c>
      <c r="J57">
        <v>2.5</v>
      </c>
      <c r="L57" t="b">
        <v>0</v>
      </c>
      <c r="M57" t="str">
        <f t="shared" si="0"/>
        <v>('4dbde329-db66-4c13-81e8-ce4378e0a71b','2024-09-03 16:24:00+00','00000000-0000-0000-0000-000000000000','2024-09-03 16:24:00+00','00000000-0000-0000-0000-000000000000',TRUE,'2024-09-03 16:24:00+00','003',-2,2.5,FALSE),</v>
      </c>
    </row>
    <row r="58" spans="1:13" x14ac:dyDescent="0.25">
      <c r="A58" t="s">
        <v>584</v>
      </c>
      <c r="B58" s="39" t="s">
        <v>381</v>
      </c>
      <c r="C58" s="21" t="s">
        <v>227</v>
      </c>
      <c r="D58" s="39" t="s">
        <v>381</v>
      </c>
      <c r="E58" s="22" t="s">
        <v>227</v>
      </c>
      <c r="F58" s="23" t="b">
        <v>1</v>
      </c>
      <c r="G58" s="39" t="s">
        <v>381</v>
      </c>
      <c r="H58" s="29" t="s">
        <v>599</v>
      </c>
      <c r="I58" s="20">
        <v>-2</v>
      </c>
      <c r="J58">
        <v>2.5</v>
      </c>
      <c r="L58" t="b">
        <v>0</v>
      </c>
      <c r="M58" t="str">
        <f t="shared" si="0"/>
        <v>('0db52e95-6579-4b29-ae5d-46ab0aa92181','2024-09-05 16:24:00+00','00000000-0000-0000-0000-000000000000','2024-09-05 16:24:00+00','00000000-0000-0000-0000-000000000000',TRUE,'2024-09-05 16:24:00+00','003',-2,2.5,FALSE),</v>
      </c>
    </row>
    <row r="59" spans="1:13" x14ac:dyDescent="0.25">
      <c r="A59" t="s">
        <v>585</v>
      </c>
      <c r="B59" s="39" t="s">
        <v>382</v>
      </c>
      <c r="C59" s="21" t="s">
        <v>227</v>
      </c>
      <c r="D59" s="39" t="s">
        <v>382</v>
      </c>
      <c r="E59" s="22" t="s">
        <v>227</v>
      </c>
      <c r="F59" s="23" t="b">
        <v>1</v>
      </c>
      <c r="G59" s="39" t="s">
        <v>382</v>
      </c>
      <c r="H59" s="29" t="s">
        <v>599</v>
      </c>
      <c r="I59" s="20">
        <v>-2</v>
      </c>
      <c r="J59">
        <v>2.5</v>
      </c>
      <c r="L59" t="b">
        <v>0</v>
      </c>
      <c r="M59" t="str">
        <f t="shared" si="0"/>
        <v>('8bcb1869-8a51-4c38-a3c1-fcea5e163956','2024-09-07 16:24:00+00','00000000-0000-0000-0000-000000000000','2024-09-07 16:24:00+00','00000000-0000-0000-0000-000000000000',TRUE,'2024-09-07 16:24:00+00','003',-2,2.5,FALSE),</v>
      </c>
    </row>
    <row r="60" spans="1:13" x14ac:dyDescent="0.25">
      <c r="A60" t="s">
        <v>586</v>
      </c>
      <c r="B60" s="39" t="s">
        <v>378</v>
      </c>
      <c r="C60" s="21" t="s">
        <v>227</v>
      </c>
      <c r="D60" s="39" t="s">
        <v>378</v>
      </c>
      <c r="E60" s="22" t="s">
        <v>227</v>
      </c>
      <c r="F60" s="23" t="b">
        <v>1</v>
      </c>
      <c r="G60" s="39" t="s">
        <v>378</v>
      </c>
      <c r="H60" s="29" t="s">
        <v>599</v>
      </c>
      <c r="I60" s="20">
        <v>-2</v>
      </c>
      <c r="J60">
        <v>2.5</v>
      </c>
      <c r="L60" t="b">
        <v>0</v>
      </c>
      <c r="M60" t="str">
        <f t="shared" si="0"/>
        <v>('4466b1ed-b531-44cf-a6d9-5881e833da1f','2024-09-10 16:24:00+01','00000000-0000-0000-0000-000000000000','2024-09-10 16:24:00+01','00000000-0000-0000-0000-000000000000',TRUE,'2024-09-10 16:24:00+01','003',-2,2.5,FALSE),</v>
      </c>
    </row>
    <row r="61" spans="1:13" x14ac:dyDescent="0.25">
      <c r="A61" t="s">
        <v>587</v>
      </c>
      <c r="B61" s="39" t="s">
        <v>383</v>
      </c>
      <c r="C61" s="21" t="s">
        <v>227</v>
      </c>
      <c r="D61" s="39" t="s">
        <v>383</v>
      </c>
      <c r="E61" s="22" t="s">
        <v>227</v>
      </c>
      <c r="F61" s="23" t="b">
        <v>1</v>
      </c>
      <c r="G61" s="39" t="s">
        <v>383</v>
      </c>
      <c r="H61" s="29" t="s">
        <v>599</v>
      </c>
      <c r="I61" s="20">
        <v>-2</v>
      </c>
      <c r="J61">
        <v>2.5</v>
      </c>
      <c r="L61" t="b">
        <v>0</v>
      </c>
      <c r="M61" t="str">
        <f t="shared" si="0"/>
        <v>('ee7713d1-e9f0-42e6-b038-7b6597118963','2024-09-12 16:24:00+01','00000000-0000-0000-0000-000000000000','2024-09-12 16:24:00+01','00000000-0000-0000-0000-000000000000',TRUE,'2024-09-12 16:24:00+01','003',-2,2.5,FALSE),</v>
      </c>
    </row>
    <row r="62" spans="1:13" x14ac:dyDescent="0.25">
      <c r="A62" s="25" t="s">
        <v>588</v>
      </c>
      <c r="B62" s="39" t="s">
        <v>384</v>
      </c>
      <c r="C62" s="21" t="s">
        <v>227</v>
      </c>
      <c r="D62" s="39" t="s">
        <v>384</v>
      </c>
      <c r="E62" s="22" t="s">
        <v>227</v>
      </c>
      <c r="F62" s="23" t="b">
        <v>1</v>
      </c>
      <c r="G62" s="39" t="s">
        <v>384</v>
      </c>
      <c r="H62" s="29" t="s">
        <v>599</v>
      </c>
      <c r="I62" s="20">
        <v>-2</v>
      </c>
      <c r="J62">
        <v>2.5</v>
      </c>
      <c r="L62" t="b">
        <v>0</v>
      </c>
      <c r="M62" t="str">
        <f t="shared" si="0"/>
        <v>('759e742d-4e5c-40ae-8a79-8a3c5f1738b1','2024-09-14 16:24:00+01','00000000-0000-0000-0000-000000000000','2024-09-14 16:24:00+01','00000000-0000-0000-0000-000000000000',TRUE,'2024-09-14 16:24:00+01','003',-2,2.5,FALSE),</v>
      </c>
    </row>
    <row r="63" spans="1:13" x14ac:dyDescent="0.25">
      <c r="A63" t="s">
        <v>589</v>
      </c>
      <c r="B63" s="39" t="s">
        <v>379</v>
      </c>
      <c r="C63" s="21" t="s">
        <v>227</v>
      </c>
      <c r="D63" s="39" t="s">
        <v>379</v>
      </c>
      <c r="E63" s="22" t="s">
        <v>227</v>
      </c>
      <c r="F63" s="23" t="b">
        <v>1</v>
      </c>
      <c r="G63" s="39" t="s">
        <v>379</v>
      </c>
      <c r="H63" s="29" t="s">
        <v>599</v>
      </c>
      <c r="I63" s="20">
        <v>-2</v>
      </c>
      <c r="J63">
        <v>2.5</v>
      </c>
      <c r="L63" t="b">
        <v>0</v>
      </c>
      <c r="M63" t="str">
        <f t="shared" si="0"/>
        <v>('b93e8089-608e-4e11-a78d-030149e75a7a','2024-09-17 16:24:00+02','00000000-0000-0000-0000-000000000000','2024-09-17 16:24:00+02','00000000-0000-0000-0000-000000000000',TRUE,'2024-09-17 16:24:00+02','003',-2,2.5,FALSE),</v>
      </c>
    </row>
    <row r="64" spans="1:13" x14ac:dyDescent="0.25">
      <c r="A64" t="s">
        <v>590</v>
      </c>
      <c r="B64" s="39" t="s">
        <v>385</v>
      </c>
      <c r="C64" s="21" t="s">
        <v>227</v>
      </c>
      <c r="D64" s="39" t="s">
        <v>385</v>
      </c>
      <c r="E64" s="22" t="s">
        <v>227</v>
      </c>
      <c r="F64" s="23" t="b">
        <v>1</v>
      </c>
      <c r="G64" s="39" t="s">
        <v>385</v>
      </c>
      <c r="H64" s="29" t="s">
        <v>599</v>
      </c>
      <c r="I64" s="20">
        <v>-2</v>
      </c>
      <c r="J64">
        <v>2.5</v>
      </c>
      <c r="L64" t="b">
        <v>0</v>
      </c>
      <c r="M64" t="str">
        <f t="shared" si="0"/>
        <v>('d14366fb-75b6-40f6-87ac-63c4bd735f45','2024-09-19 16:24:00+02','00000000-0000-0000-0000-000000000000','2024-09-19 16:24:00+02','00000000-0000-0000-0000-000000000000',TRUE,'2024-09-19 16:24:00+02','003',-2,2.5,FALSE),</v>
      </c>
    </row>
    <row r="65" spans="1:13" x14ac:dyDescent="0.25">
      <c r="A65" t="s">
        <v>591</v>
      </c>
      <c r="B65" s="39" t="s">
        <v>386</v>
      </c>
      <c r="C65" s="21" t="s">
        <v>227</v>
      </c>
      <c r="D65" s="39" t="s">
        <v>386</v>
      </c>
      <c r="E65" s="22" t="s">
        <v>227</v>
      </c>
      <c r="F65" s="23" t="b">
        <v>1</v>
      </c>
      <c r="G65" s="39" t="s">
        <v>386</v>
      </c>
      <c r="H65" s="29" t="s">
        <v>599</v>
      </c>
      <c r="I65" s="20">
        <v>-2</v>
      </c>
      <c r="J65">
        <v>2.5</v>
      </c>
      <c r="L65" t="b">
        <v>0</v>
      </c>
      <c r="M65" t="str">
        <f t="shared" si="0"/>
        <v>('018a1d1e-ef5a-40e6-88e7-6540c1f86a70','2024-09-21 16:24:00+02','00000000-0000-0000-0000-000000000000','2024-09-21 16:24:00+02','00000000-0000-0000-0000-000000000000',TRUE,'2024-09-21 16:24:00+02','003',-2,2.5,FALSE),</v>
      </c>
    </row>
    <row r="66" spans="1:13" x14ac:dyDescent="0.25">
      <c r="A66" t="s">
        <v>592</v>
      </c>
      <c r="B66" s="39" t="s">
        <v>380</v>
      </c>
      <c r="C66" s="21" t="s">
        <v>227</v>
      </c>
      <c r="D66" s="39" t="s">
        <v>380</v>
      </c>
      <c r="E66" s="22" t="s">
        <v>227</v>
      </c>
      <c r="F66" s="23" t="b">
        <v>1</v>
      </c>
      <c r="G66" s="39" t="s">
        <v>380</v>
      </c>
      <c r="H66" s="29" t="s">
        <v>599</v>
      </c>
      <c r="I66" s="20">
        <v>-2</v>
      </c>
      <c r="J66">
        <v>2.5</v>
      </c>
      <c r="L66" t="b">
        <v>0</v>
      </c>
      <c r="M66" t="str">
        <f t="shared" si="0"/>
        <v>('3a1e9f3d-6eff-41b8-b48e-afed057c8390','2024-09-24 16:24:00+03','00000000-0000-0000-0000-000000000000','2024-09-24 16:24:00+03','00000000-0000-0000-0000-000000000000',TRUE,'2024-09-24 16:24:00+03','003',-2,2.5,FALSE),</v>
      </c>
    </row>
    <row r="67" spans="1:13" x14ac:dyDescent="0.25">
      <c r="A67" t="s">
        <v>593</v>
      </c>
      <c r="B67" s="39" t="s">
        <v>387</v>
      </c>
      <c r="C67" s="21" t="s">
        <v>227</v>
      </c>
      <c r="D67" s="39" t="s">
        <v>387</v>
      </c>
      <c r="E67" s="22" t="s">
        <v>227</v>
      </c>
      <c r="F67" s="23" t="b">
        <v>1</v>
      </c>
      <c r="G67" s="39" t="s">
        <v>387</v>
      </c>
      <c r="H67" s="29" t="s">
        <v>599</v>
      </c>
      <c r="I67" s="20">
        <v>-2</v>
      </c>
      <c r="J67">
        <v>2.5</v>
      </c>
      <c r="L67" t="b">
        <v>0</v>
      </c>
      <c r="M67" t="str">
        <f t="shared" si="0"/>
        <v>('2dd0b397-cc78-415c-8582-0619dfeba008','2024-09-26 16:24:00+03','00000000-0000-0000-0000-000000000000','2024-09-26 16:24:00+03','00000000-0000-0000-0000-000000000000',TRUE,'2024-09-26 16:24:00+03','003',-2,2.5,FALSE),</v>
      </c>
    </row>
    <row r="68" spans="1:13" x14ac:dyDescent="0.25">
      <c r="A68" t="s">
        <v>594</v>
      </c>
      <c r="B68" s="39" t="s">
        <v>388</v>
      </c>
      <c r="C68" s="21" t="s">
        <v>227</v>
      </c>
      <c r="D68" s="39" t="s">
        <v>388</v>
      </c>
      <c r="E68" s="22" t="s">
        <v>227</v>
      </c>
      <c r="F68" s="23" t="b">
        <v>1</v>
      </c>
      <c r="G68" s="39" t="s">
        <v>388</v>
      </c>
      <c r="H68" s="29" t="s">
        <v>599</v>
      </c>
      <c r="I68" s="20">
        <v>-2</v>
      </c>
      <c r="J68">
        <v>2.5</v>
      </c>
      <c r="L68" t="b">
        <v>0</v>
      </c>
      <c r="M68" t="str">
        <f t="shared" si="0"/>
        <v>('9449cb47-a8b9-40c4-a438-3dbcd1b17b49','2024-09-28 16:24:00+03','00000000-0000-0000-0000-000000000000','2024-09-28 16:24:00+03','00000000-0000-0000-0000-000000000000',TRUE,'2024-09-28 16:24:00+03','003',-2,2.5,FALSE),</v>
      </c>
    </row>
    <row r="69" spans="1:13" x14ac:dyDescent="0.25">
      <c r="A69" t="s">
        <v>595</v>
      </c>
      <c r="B69" s="39" t="s">
        <v>389</v>
      </c>
      <c r="C69" s="21" t="s">
        <v>227</v>
      </c>
      <c r="D69" s="39" t="s">
        <v>389</v>
      </c>
      <c r="E69" s="22" t="s">
        <v>227</v>
      </c>
      <c r="F69" s="23" t="b">
        <v>1</v>
      </c>
      <c r="G69" s="39" t="s">
        <v>389</v>
      </c>
      <c r="H69" s="29" t="s">
        <v>599</v>
      </c>
      <c r="I69" s="20">
        <v>-2</v>
      </c>
      <c r="J69">
        <v>2.5</v>
      </c>
      <c r="L69" t="b">
        <v>0</v>
      </c>
      <c r="M69" t="str">
        <f t="shared" ref="M69:M71" si="2">_xlfn.CONCAT("('",A69,"','",B69,"','",C69,"','",D69,"','",E69,"',",F69,",'",G69,"','",H69,"',",I69,",",J69,",",L69,"),")</f>
        <v>('0d417f6c-65f9-4df0-baa0-a9fd7b8d7aed','2024-10-01 16:24:00+04','00000000-0000-0000-0000-000000000000','2024-10-01 16:24:00+04','00000000-0000-0000-0000-000000000000',TRUE,'2024-10-01 16:24:00+04','003',-2,2.5,FALSE),</v>
      </c>
    </row>
    <row r="70" spans="1:13" x14ac:dyDescent="0.25">
      <c r="A70" t="s">
        <v>596</v>
      </c>
      <c r="B70" s="39" t="s">
        <v>390</v>
      </c>
      <c r="C70" s="21" t="s">
        <v>227</v>
      </c>
      <c r="D70" s="39" t="s">
        <v>390</v>
      </c>
      <c r="E70" s="22" t="s">
        <v>227</v>
      </c>
      <c r="F70" s="23" t="b">
        <v>1</v>
      </c>
      <c r="G70" s="39" t="s">
        <v>390</v>
      </c>
      <c r="H70" s="29" t="s">
        <v>599</v>
      </c>
      <c r="I70" s="20">
        <v>-2</v>
      </c>
      <c r="J70">
        <v>2.5</v>
      </c>
      <c r="L70" t="b">
        <v>0</v>
      </c>
      <c r="M70" t="str">
        <f t="shared" si="2"/>
        <v>('4b59ee2d-1080-4631-a7d6-d961434448da','2024-10-03 16:24:00+04','00000000-0000-0000-0000-000000000000','2024-10-03 16:24:00+04','00000000-0000-0000-0000-000000000000',TRUE,'2024-10-03 16:24:00+04','003',-2,2.5,FALSE),</v>
      </c>
    </row>
    <row r="71" spans="1:13" x14ac:dyDescent="0.25">
      <c r="A71" t="s">
        <v>597</v>
      </c>
      <c r="B71" s="39" t="s">
        <v>391</v>
      </c>
      <c r="C71" s="21" t="s">
        <v>227</v>
      </c>
      <c r="D71" s="39" t="s">
        <v>391</v>
      </c>
      <c r="E71" s="22" t="s">
        <v>227</v>
      </c>
      <c r="F71" s="23" t="b">
        <v>1</v>
      </c>
      <c r="G71" s="39" t="s">
        <v>391</v>
      </c>
      <c r="H71" s="29" t="s">
        <v>599</v>
      </c>
      <c r="I71" s="20">
        <v>-2</v>
      </c>
      <c r="J71">
        <v>2.5</v>
      </c>
      <c r="L71" t="b">
        <v>0</v>
      </c>
      <c r="M71" t="str">
        <f t="shared" si="2"/>
        <v>('2a7b8453-cec4-4c41-bb47-d12678e6b6e4','2024-10-05 16:24:00+04','00000000-0000-0000-0000-000000000000','2024-10-05 16:24:00+04','00000000-0000-0000-0000-000000000000',TRUE,'2024-10-05 16:24:00+04','003',-2,2.5,FALSE),</v>
      </c>
    </row>
    <row r="78" spans="1:13" x14ac:dyDescent="0.25">
      <c r="M78" t="s">
        <v>668</v>
      </c>
    </row>
    <row r="79" spans="1:13" x14ac:dyDescent="0.25">
      <c r="M79" t="s">
        <v>669</v>
      </c>
    </row>
    <row r="80" spans="1:13" x14ac:dyDescent="0.25">
      <c r="M80" t="s">
        <v>670</v>
      </c>
    </row>
    <row r="81" spans="13:13" x14ac:dyDescent="0.25">
      <c r="M81" t="s">
        <v>671</v>
      </c>
    </row>
    <row r="82" spans="13:13" x14ac:dyDescent="0.25">
      <c r="M82" t="s">
        <v>672</v>
      </c>
    </row>
    <row r="83" spans="13:13" x14ac:dyDescent="0.25">
      <c r="M83" t="s">
        <v>673</v>
      </c>
    </row>
    <row r="84" spans="13:13" x14ac:dyDescent="0.25">
      <c r="M84" t="s">
        <v>674</v>
      </c>
    </row>
    <row r="85" spans="13:13" x14ac:dyDescent="0.25">
      <c r="M85" t="s">
        <v>675</v>
      </c>
    </row>
    <row r="86" spans="13:13" x14ac:dyDescent="0.25">
      <c r="M86" t="s">
        <v>676</v>
      </c>
    </row>
    <row r="87" spans="13:13" x14ac:dyDescent="0.25">
      <c r="M87" t="s">
        <v>677</v>
      </c>
    </row>
    <row r="88" spans="13:13" x14ac:dyDescent="0.25">
      <c r="M88" t="s">
        <v>678</v>
      </c>
    </row>
    <row r="89" spans="13:13" x14ac:dyDescent="0.25">
      <c r="M89" t="s">
        <v>679</v>
      </c>
    </row>
    <row r="90" spans="13:13" x14ac:dyDescent="0.25">
      <c r="M90" t="s">
        <v>680</v>
      </c>
    </row>
    <row r="91" spans="13:13" x14ac:dyDescent="0.25">
      <c r="M91" t="s">
        <v>681</v>
      </c>
    </row>
    <row r="92" spans="13:13" x14ac:dyDescent="0.25">
      <c r="M92" t="s">
        <v>682</v>
      </c>
    </row>
    <row r="93" spans="13:13" x14ac:dyDescent="0.25">
      <c r="M93" t="s">
        <v>683</v>
      </c>
    </row>
    <row r="94" spans="13:13" x14ac:dyDescent="0.25">
      <c r="M94" t="s">
        <v>684</v>
      </c>
    </row>
    <row r="95" spans="13:13" x14ac:dyDescent="0.25">
      <c r="M95" t="s">
        <v>685</v>
      </c>
    </row>
    <row r="96" spans="13:13" x14ac:dyDescent="0.25">
      <c r="M96" t="s">
        <v>686</v>
      </c>
    </row>
    <row r="97" spans="13:13" x14ac:dyDescent="0.25">
      <c r="M97" t="s">
        <v>687</v>
      </c>
    </row>
    <row r="98" spans="13:13" x14ac:dyDescent="0.25">
      <c r="M98" t="s">
        <v>688</v>
      </c>
    </row>
    <row r="99" spans="13:13" x14ac:dyDescent="0.25">
      <c r="M99" t="s">
        <v>689</v>
      </c>
    </row>
    <row r="100" spans="13:13" x14ac:dyDescent="0.25">
      <c r="M100" t="s">
        <v>690</v>
      </c>
    </row>
    <row r="101" spans="13:13" x14ac:dyDescent="0.25">
      <c r="M101" t="s">
        <v>691</v>
      </c>
    </row>
    <row r="102" spans="13:13" x14ac:dyDescent="0.25">
      <c r="M102" t="s">
        <v>692</v>
      </c>
    </row>
    <row r="103" spans="13:13" x14ac:dyDescent="0.25">
      <c r="M103" t="s">
        <v>693</v>
      </c>
    </row>
    <row r="104" spans="13:13" x14ac:dyDescent="0.25">
      <c r="M104" t="s">
        <v>694</v>
      </c>
    </row>
    <row r="105" spans="13:13" x14ac:dyDescent="0.25">
      <c r="M105" t="s">
        <v>695</v>
      </c>
    </row>
    <row r="106" spans="13:13" x14ac:dyDescent="0.25">
      <c r="M106" t="s">
        <v>696</v>
      </c>
    </row>
    <row r="107" spans="13:13" x14ac:dyDescent="0.25">
      <c r="M107" t="s">
        <v>697</v>
      </c>
    </row>
    <row r="108" spans="13:13" x14ac:dyDescent="0.25">
      <c r="M108" t="s">
        <v>698</v>
      </c>
    </row>
    <row r="109" spans="13:13" x14ac:dyDescent="0.25">
      <c r="M109" t="s">
        <v>699</v>
      </c>
    </row>
    <row r="110" spans="13:13" x14ac:dyDescent="0.25">
      <c r="M110" t="s">
        <v>700</v>
      </c>
    </row>
    <row r="111" spans="13:13" x14ac:dyDescent="0.25">
      <c r="M111" t="s">
        <v>701</v>
      </c>
    </row>
    <row r="112" spans="13:13" x14ac:dyDescent="0.25">
      <c r="M112" t="s">
        <v>702</v>
      </c>
    </row>
    <row r="113" spans="13:13" x14ac:dyDescent="0.25">
      <c r="M113" t="s">
        <v>703</v>
      </c>
    </row>
    <row r="114" spans="13:13" x14ac:dyDescent="0.25">
      <c r="M114" t="s">
        <v>704</v>
      </c>
    </row>
    <row r="115" spans="13:13" x14ac:dyDescent="0.25">
      <c r="M115" t="s">
        <v>705</v>
      </c>
    </row>
    <row r="116" spans="13:13" x14ac:dyDescent="0.25">
      <c r="M116" t="s">
        <v>706</v>
      </c>
    </row>
    <row r="117" spans="13:13" x14ac:dyDescent="0.25">
      <c r="M117" t="s">
        <v>707</v>
      </c>
    </row>
    <row r="118" spans="13:13" x14ac:dyDescent="0.25">
      <c r="M118" t="s">
        <v>708</v>
      </c>
    </row>
    <row r="119" spans="13:13" x14ac:dyDescent="0.25">
      <c r="M119" t="s">
        <v>709</v>
      </c>
    </row>
    <row r="120" spans="13:13" x14ac:dyDescent="0.25">
      <c r="M120" t="s">
        <v>710</v>
      </c>
    </row>
    <row r="121" spans="13:13" x14ac:dyDescent="0.25">
      <c r="M121" t="s">
        <v>711</v>
      </c>
    </row>
    <row r="122" spans="13:13" x14ac:dyDescent="0.25">
      <c r="M122" t="s">
        <v>712</v>
      </c>
    </row>
    <row r="123" spans="13:13" x14ac:dyDescent="0.25">
      <c r="M123" t="s">
        <v>713</v>
      </c>
    </row>
    <row r="124" spans="13:13" x14ac:dyDescent="0.25">
      <c r="M124" t="s">
        <v>714</v>
      </c>
    </row>
    <row r="125" spans="13:13" x14ac:dyDescent="0.25">
      <c r="M125" t="s">
        <v>715</v>
      </c>
    </row>
    <row r="126" spans="13:13" x14ac:dyDescent="0.25">
      <c r="M126" t="s">
        <v>716</v>
      </c>
    </row>
    <row r="127" spans="13:13" x14ac:dyDescent="0.25">
      <c r="M127" t="s">
        <v>717</v>
      </c>
    </row>
    <row r="128" spans="13:13" x14ac:dyDescent="0.25">
      <c r="M128" t="s">
        <v>718</v>
      </c>
    </row>
    <row r="129" spans="13:13" x14ac:dyDescent="0.25">
      <c r="M129" t="s">
        <v>719</v>
      </c>
    </row>
    <row r="130" spans="13:13" x14ac:dyDescent="0.25">
      <c r="M130" t="s">
        <v>720</v>
      </c>
    </row>
    <row r="131" spans="13:13" x14ac:dyDescent="0.25">
      <c r="M131" t="s">
        <v>721</v>
      </c>
    </row>
    <row r="132" spans="13:13" x14ac:dyDescent="0.25">
      <c r="M132" t="s">
        <v>722</v>
      </c>
    </row>
    <row r="133" spans="13:13" x14ac:dyDescent="0.25">
      <c r="M133" t="s">
        <v>723</v>
      </c>
    </row>
    <row r="134" spans="13:13" x14ac:dyDescent="0.25">
      <c r="M134" t="s">
        <v>724</v>
      </c>
    </row>
    <row r="135" spans="13:13" x14ac:dyDescent="0.25">
      <c r="M135" t="s">
        <v>725</v>
      </c>
    </row>
    <row r="136" spans="13:13" x14ac:dyDescent="0.25">
      <c r="M136" t="s">
        <v>726</v>
      </c>
    </row>
    <row r="137" spans="13:13" x14ac:dyDescent="0.25">
      <c r="M137" t="s">
        <v>727</v>
      </c>
    </row>
    <row r="138" spans="13:13" x14ac:dyDescent="0.25">
      <c r="M138" t="s">
        <v>728</v>
      </c>
    </row>
    <row r="139" spans="13:13" x14ac:dyDescent="0.25">
      <c r="M139" t="s">
        <v>729</v>
      </c>
    </row>
    <row r="140" spans="13:13" x14ac:dyDescent="0.25">
      <c r="M140" t="s">
        <v>730</v>
      </c>
    </row>
    <row r="141" spans="13:13" x14ac:dyDescent="0.25">
      <c r="M141" t="s">
        <v>731</v>
      </c>
    </row>
    <row r="142" spans="13:13" x14ac:dyDescent="0.25">
      <c r="M142" t="s">
        <v>732</v>
      </c>
    </row>
    <row r="143" spans="13:13" x14ac:dyDescent="0.25">
      <c r="M143" t="s">
        <v>733</v>
      </c>
    </row>
    <row r="144" spans="13:13" x14ac:dyDescent="0.25">
      <c r="M144" t="s">
        <v>734</v>
      </c>
    </row>
    <row r="145" spans="13:13" x14ac:dyDescent="0.25">
      <c r="M145" t="s">
        <v>735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VAlue_UserRole</vt:lpstr>
      <vt:lpstr>Value_UserUnit</vt:lpstr>
      <vt:lpstr>Value_Incomes</vt:lpstr>
      <vt:lpstr>Value_Patients (alun)</vt:lpstr>
      <vt:lpstr>Value_DialysisPrescriptions</vt:lpstr>
      <vt:lpstr>medecine</vt:lpstr>
      <vt:lpstr>Value_DiaPrescrip (alun)</vt:lpstr>
      <vt:lpstr>HemoRecord โดนนับ</vt:lpstr>
      <vt:lpstr>LabExam โดนนับ</vt:lpstr>
      <vt:lpstr>HemoRecord ไม่โดน</vt:lpstr>
      <vt:lpstr>LabExam ไม่โดน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Sirapope Panapong</dc:creator>
  <cp:lastModifiedBy>Sirapope Panapong</cp:lastModifiedBy>
  <dcterms:created xsi:type="dcterms:W3CDTF">2025-03-03T02:46:09Z</dcterms:created>
  <dcterms:modified xsi:type="dcterms:W3CDTF">2025-12-11T03:18:09Z</dcterms:modified>
</cp:coreProperties>
</file>